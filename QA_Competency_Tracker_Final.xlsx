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README" sheetId="1" state="visible" r:id="rId1"/>
    <sheet name="📋 Competency Details" sheetId="2" state="visible" r:id="rId2"/>
    <sheet name="🚀 Career Ladder" sheetId="3" state="visible" r:id="rId3"/>
    <sheet name="📝 Onboarding Checklist" sheetId="4" state="visible" r:id="rId4"/>
    <sheet name="📊 Dashboard" sheetId="5" state="visible" r:id="rId5"/>
    <sheet name="👤 Naufal Hilmi" sheetId="6" state="visible" r:id="rId6"/>
    <sheet name="👤 Abhipraya Radityaqsh" sheetId="7" state="visible" r:id="rId7"/>
    <sheet name="👤 Rendy Pratama" sheetId="8" state="visible" r:id="rId8"/>
    <sheet name="👤 Theo Galang Saputra" sheetId="9" state="visible" r:id="rId9"/>
    <sheet name="👤 Pebri Sangmajadi Sin" sheetId="10" state="visible" r:id="rId10"/>
    <sheet name="👤 Ayasi Bahifatih Priy" sheetId="11" state="visible" r:id="rId11"/>
    <sheet name="👤 Dhammiko Budiarto" sheetId="12" state="visible" r:id="rId12"/>
    <sheet name="👤 Komang Ega Kartika" sheetId="13" state="visible" r:id="rId13"/>
    <sheet name="👤 Bagas Rayi Prabowo" sheetId="14" state="visible" r:id="rId14"/>
    <sheet name="👤 Pramesthi Siwambalo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  <sz val="12"/>
    </font>
    <font>
      <b val="1"/>
      <color rgb="001F4E79"/>
      <sz val="12"/>
    </font>
    <font>
      <b val="1"/>
      <color rgb="00FFFFFF"/>
      <sz val="11"/>
    </font>
    <font>
      <b val="1"/>
      <color rgb="001F4E79"/>
      <sz val="18"/>
    </font>
    <font>
      <i val="1"/>
      <color rgb="00666666"/>
    </font>
    <font>
      <b val="1"/>
      <color rgb="001F4E79"/>
      <sz val="14"/>
    </font>
    <font>
      <b val="1"/>
      <sz val="12"/>
    </font>
    <font>
      <b val="1"/>
      <sz val="9"/>
    </font>
    <font>
      <b val="1"/>
      <color rgb="00FFFFFF"/>
      <sz val="14"/>
    </font>
    <font>
      <b val="1"/>
    </font>
    <font>
      <b val="1"/>
      <color rgb="001F4E79"/>
    </font>
    <font>
      <b val="1"/>
      <color rgb="001F4E79"/>
      <sz val="16"/>
    </font>
    <font>
      <b val="1"/>
      <sz val="10"/>
    </font>
    <font>
      <b val="1"/>
      <i val="1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5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QA COMPETENCY ASSESSMENT FRAMEWORK</t>
        </is>
      </c>
    </row>
    <row r="2">
      <c r="A2" s="2" t="inlineStr">
        <is>
          <t>Based on Dreyfus Model of Skill Acquisition</t>
        </is>
      </c>
    </row>
    <row r="4">
      <c r="A4" s="3" t="inlineStr">
        <is>
          <t>📌 PURPOSE</t>
        </is>
      </c>
    </row>
    <row r="5">
      <c r="A5" t="inlineStr">
        <is>
          <t>• Measure and track QA team competency growth using first-person 'I can...' statements</t>
        </is>
      </c>
    </row>
    <row r="6">
      <c r="A6" t="inlineStr">
        <is>
          <t>• Enable honest self-assessment with clear behavioral indicators</t>
        </is>
      </c>
    </row>
    <row r="7">
      <c r="A7" t="inlineStr">
        <is>
          <t>• Identify skill gaps and development opportunities</t>
        </is>
      </c>
    </row>
    <row r="8">
      <c r="A8" t="inlineStr">
        <is>
          <t>• Create personalized learning plans</t>
        </is>
      </c>
    </row>
    <row r="9">
      <c r="A9" t="inlineStr">
        <is>
          <t>• Support career progression discussions</t>
        </is>
      </c>
    </row>
    <row r="11">
      <c r="A11" s="3" t="inlineStr">
        <is>
          <t>📐 DREYFUS SCALE (1-5)</t>
        </is>
      </c>
    </row>
    <row r="12">
      <c r="A12" s="4" t="inlineStr">
        <is>
          <t>Level</t>
        </is>
      </c>
      <c r="B12" s="4" t="inlineStr">
        <is>
          <t>Stage</t>
        </is>
      </c>
      <c r="C12" s="4" t="inlineStr">
        <is>
          <t>Description</t>
        </is>
      </c>
    </row>
    <row r="13">
      <c r="A13" s="5" t="n">
        <v>1</v>
      </c>
      <c r="B13" s="6" t="inlineStr">
        <is>
          <t>Novice</t>
        </is>
      </c>
      <c r="C13" s="6" t="inlineStr">
        <is>
          <t>Follows rules rigidly; needs guidance</t>
        </is>
      </c>
    </row>
    <row r="14">
      <c r="A14" s="7" t="n">
        <v>2</v>
      </c>
      <c r="B14" s="6" t="inlineStr">
        <is>
          <t>Advanced Beginner</t>
        </is>
      </c>
      <c r="C14" s="6" t="inlineStr">
        <is>
          <t>Recognizes patterns; limited context</t>
        </is>
      </c>
    </row>
    <row r="15">
      <c r="A15" s="8" t="n">
        <v>3</v>
      </c>
      <c r="B15" s="6" t="inlineStr">
        <is>
          <t>Competent</t>
        </is>
      </c>
      <c r="C15" s="6" t="inlineStr">
        <is>
          <t>Plans and prioritizes; handles complexity</t>
        </is>
      </c>
    </row>
    <row r="16">
      <c r="A16" s="9" t="n">
        <v>4</v>
      </c>
      <c r="B16" s="6" t="inlineStr">
        <is>
          <t>Proficient</t>
        </is>
      </c>
      <c r="C16" s="6" t="inlineStr">
        <is>
          <t>Sees big picture; intuitive decisions</t>
        </is>
      </c>
    </row>
    <row r="17">
      <c r="A17" s="10" t="n">
        <v>5</v>
      </c>
      <c r="B17" s="6" t="inlineStr">
        <is>
          <t>Expert</t>
        </is>
      </c>
      <c r="C17" s="6" t="inlineStr">
        <is>
          <t>Transcends rules; innovates &amp; mentors</t>
        </is>
      </c>
    </row>
    <row r="19">
      <c r="A19" s="3" t="inlineStr">
        <is>
          <t>🎯 TARGET LEVELS BY ROLE</t>
        </is>
      </c>
    </row>
    <row r="20">
      <c r="A20" s="4" t="inlineStr">
        <is>
          <t>Role</t>
        </is>
      </c>
      <c r="B20" s="4" t="inlineStr">
        <is>
          <t>Functional</t>
        </is>
      </c>
      <c r="C20" s="4" t="inlineStr">
        <is>
          <t>Problem</t>
        </is>
      </c>
      <c r="D20" s="4" t="inlineStr">
        <is>
          <t>Impact</t>
        </is>
      </c>
      <c r="E20" s="4" t="inlineStr">
        <is>
          <t>Comm</t>
        </is>
      </c>
      <c r="F20" s="4" t="inlineStr">
        <is>
          <t>Process</t>
        </is>
      </c>
      <c r="G20" s="4" t="inlineStr">
        <is>
          <t>Culture</t>
        </is>
      </c>
    </row>
    <row r="21">
      <c r="A21" s="6" t="inlineStr">
        <is>
          <t>Junior QA</t>
        </is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1</v>
      </c>
      <c r="G21" s="6" t="n">
        <v>2</v>
      </c>
    </row>
    <row r="22">
      <c r="A22" s="6" t="inlineStr">
        <is>
          <t>Mid QA</t>
        </is>
      </c>
      <c r="B22" s="6" t="n">
        <v>3</v>
      </c>
      <c r="C22" s="6" t="n">
        <v>3</v>
      </c>
      <c r="D22" s="6" t="n">
        <v>3</v>
      </c>
      <c r="E22" s="6" t="n">
        <v>3</v>
      </c>
      <c r="F22" s="6" t="n">
        <v>2</v>
      </c>
      <c r="G22" s="6" t="n">
        <v>3</v>
      </c>
    </row>
    <row r="23">
      <c r="A23" s="6" t="inlineStr">
        <is>
          <t>Senior QA</t>
        </is>
      </c>
      <c r="B23" s="6" t="n">
        <v>4</v>
      </c>
      <c r="C23" s="6" t="n">
        <v>4</v>
      </c>
      <c r="D23" s="6" t="n">
        <v>4</v>
      </c>
      <c r="E23" s="6" t="n">
        <v>4</v>
      </c>
      <c r="F23" s="6" t="n">
        <v>3</v>
      </c>
      <c r="G23" s="6" t="n">
        <v>4</v>
      </c>
    </row>
    <row r="24">
      <c r="A24" s="6" t="inlineStr">
        <is>
          <t>QA Lead</t>
        </is>
      </c>
      <c r="B24" s="6" t="n">
        <v>4</v>
      </c>
      <c r="C24" s="6" t="n">
        <v>4</v>
      </c>
      <c r="D24" s="6" t="n">
        <v>5</v>
      </c>
      <c r="E24" s="6" t="n">
        <v>5</v>
      </c>
      <c r="F24" s="6" t="n">
        <v>4</v>
      </c>
      <c r="G24" s="6" t="n">
        <v>5</v>
      </c>
    </row>
    <row r="25">
      <c r="A25" s="6" t="inlineStr">
        <is>
          <t>QA Manager</t>
        </is>
      </c>
      <c r="B25" s="6" t="n">
        <v>4</v>
      </c>
      <c r="C25" s="6" t="n">
        <v>5</v>
      </c>
      <c r="D25" s="6" t="n">
        <v>5</v>
      </c>
      <c r="E25" s="6" t="n">
        <v>5</v>
      </c>
      <c r="F25" s="6" t="n">
        <v>5</v>
      </c>
      <c r="G25" s="6" t="n">
        <v>5</v>
      </c>
    </row>
    <row r="28">
      <c r="A28" t="inlineStr">
        <is>
          <t>════════════════════════════════════════════════════════════</t>
        </is>
      </c>
    </row>
    <row r="30">
      <c r="A30" s="13" t="inlineStr">
        <is>
          <t>📜 COPYRIGHT &amp; OWNERSHIP</t>
        </is>
      </c>
    </row>
    <row r="32">
      <c r="A32" s="22" t="inlineStr">
        <is>
          <t>Created by: Aditya Mirza Bahari</t>
        </is>
      </c>
    </row>
    <row r="33">
      <c r="A33" s="22" t="inlineStr">
        <is>
          <t>Copyright © 2025 Aditya Mirza Bahari. All Rights Reserved.</t>
        </is>
      </c>
    </row>
    <row r="34">
      <c r="A34" t="inlineStr"/>
    </row>
    <row r="35">
      <c r="A35" t="inlineStr">
        <is>
          <t>This QA Competency Framework is proprietary intellectual property.</t>
        </is>
      </c>
    </row>
    <row r="36">
      <c r="A36" t="inlineStr">
        <is>
          <t>Unauthorized reproduction, distribution, or modification is prohibited</t>
        </is>
      </c>
    </row>
    <row r="37">
      <c r="A37" t="inlineStr">
        <is>
          <t>without written consent from the copyright holder.</t>
        </is>
      </c>
    </row>
    <row r="38">
      <c r="A38" t="inlineStr"/>
    </row>
    <row r="39">
      <c r="A39" t="inlineStr">
        <is>
          <t>Framework: Dreyfus Model of Skill Acquisition</t>
        </is>
      </c>
    </row>
    <row r="40">
      <c r="A40" t="inlineStr">
        <is>
          <t>Version: 1.0</t>
        </is>
      </c>
    </row>
    <row r="41">
      <c r="A41" t="inlineStr">
        <is>
          <t>Last Updated: January 2025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1" t="inlineStr">
        <is>
          <t>DETAILED COMPETENCY DEFINITIONS - 'I CAN...' STATEMENTS</t>
        </is>
      </c>
    </row>
    <row r="2">
      <c r="A2" s="12" t="inlineStr">
        <is>
          <t>Use these statements to self-assess your level for each competency</t>
        </is>
      </c>
    </row>
    <row r="4">
      <c r="A4" s="13" t="inlineStr">
        <is>
          <t>🎯 FUNCTIONAL EXCELLENCE</t>
        </is>
      </c>
    </row>
    <row r="5">
      <c r="A5" s="14" t="inlineStr">
        <is>
          <t>Test Design &amp; Coverage</t>
        </is>
      </c>
    </row>
    <row r="6">
      <c r="A6" s="15" t="inlineStr">
        <is>
          <t>1-NOVICE</t>
        </is>
      </c>
      <c r="B6" s="16" t="inlineStr">
        <is>
          <t>2-ADV BEGINNER</t>
        </is>
      </c>
      <c r="C6" s="17" t="inlineStr">
        <is>
          <t>3-COMPETENT</t>
        </is>
      </c>
      <c r="D6" s="18" t="inlineStr">
        <is>
          <t>4-PROFICIENT</t>
        </is>
      </c>
      <c r="E6" s="19" t="inlineStr">
        <is>
          <t>5-EXPERT</t>
        </is>
      </c>
    </row>
    <row r="7">
      <c r="A7" s="20" t="inlineStr">
        <is>
          <t>• I can create test cases by copying and modifying existing TCs</t>
        </is>
      </c>
      <c r="B7" s="20" t="inlineStr">
        <is>
          <t>• I can write test cases independently for assigned features</t>
        </is>
      </c>
      <c r="C7" s="20" t="inlineStr">
        <is>
          <t>• I can apply boundary value analysis systematically</t>
        </is>
      </c>
      <c r="D7" s="20" t="inlineStr">
        <is>
          <t>• I can design risk-based test strategies for complex features</t>
        </is>
      </c>
      <c r="E7" s="20" t="inlineStr">
        <is>
          <t>• I can innovate new test design approaches for emerging technologies</t>
        </is>
      </c>
    </row>
    <row r="8">
      <c r="A8" s="20" t="inlineStr">
        <is>
          <t>• I can follow a test case template to document my tests</t>
        </is>
      </c>
      <c r="B8" s="20" t="inlineStr">
        <is>
          <t>• I can identify basic positive and negative test scenarios</t>
        </is>
      </c>
      <c r="C8" s="20" t="inlineStr">
        <is>
          <t>• I can create decision tables for complex business logic</t>
        </is>
      </c>
      <c r="D8" s="20" t="inlineStr">
        <is>
          <t>• I can identify test scenarios that others might miss</t>
        </is>
      </c>
      <c r="E8" s="20" t="inlineStr">
        <is>
          <t>• I can define test design standards for the organization</t>
        </is>
      </c>
    </row>
    <row r="9">
      <c r="A9" s="20" t="inlineStr">
        <is>
          <t>• I can identify happy path scenarios from requirements</t>
        </is>
      </c>
      <c r="B9" s="20" t="inlineStr">
        <is>
          <t>• I can apply simple equivalence partitioning for input fields</t>
        </is>
      </c>
      <c r="C9" s="20" t="inlineStr">
        <is>
          <t>• I can design state transition test cases</t>
        </is>
      </c>
      <c r="D9" s="20" t="inlineStr">
        <is>
          <t>• I can optimize test suites for maximum coverage with minimum cases</t>
        </is>
      </c>
      <c r="E9" s="20" t="inlineStr">
        <is>
          <t>• I can evaluate and introduce new testing methodologies</t>
        </is>
      </c>
    </row>
    <row r="10">
      <c r="A10" s="20" t="inlineStr">
        <is>
          <t>• I need guidance to determine what scenarios to test</t>
        </is>
      </c>
      <c r="B10" s="20" t="inlineStr">
        <is>
          <t>• I can create test cases from user stories and acceptance criteria</t>
        </is>
      </c>
      <c r="C10" s="20" t="inlineStr">
        <is>
          <t>• I can identify edge cases and corner cases proactively</t>
        </is>
      </c>
      <c r="D10" s="20" t="inlineStr">
        <is>
          <t>• I can apply combinatorial testing techniques (pairwise, orthogonal)</t>
        </is>
      </c>
      <c r="E10" s="20" t="inlineStr">
        <is>
          <t>• I can teach advanced test design workshops</t>
        </is>
      </c>
    </row>
    <row r="11">
      <c r="A11" s="20" t="inlineStr">
        <is>
          <t>• I execute test cases step by step as written</t>
        </is>
      </c>
      <c r="B11" s="20" t="inlineStr">
        <is>
          <t>• I understand the difference between functional and non-functional tests</t>
        </is>
      </c>
      <c r="C11" s="20" t="inlineStr">
        <is>
          <t>• I can estimate test coverage and identify gaps</t>
        </is>
      </c>
      <c r="D11" s="20" t="inlineStr">
        <is>
          <t>• I can mentor others on test design techniques</t>
        </is>
      </c>
      <c r="E11" s="20" t="inlineStr">
        <is>
          <t>• I can influence product design to improve testability</t>
        </is>
      </c>
    </row>
    <row r="12">
      <c r="A12" s="6" t="inlineStr"/>
      <c r="B12" s="20" t="inlineStr">
        <is>
          <t>• I can identify when test cases need to be updated</t>
        </is>
      </c>
      <c r="C12" s="20" t="inlineStr">
        <is>
          <t>• I can prioritize test cases based on risk and impact</t>
        </is>
      </c>
      <c r="D12" s="20" t="inlineStr">
        <is>
          <t>• I can review and improve test cases written by others</t>
        </is>
      </c>
      <c r="E12" s="20" t="inlineStr">
        <is>
          <t>• I am consulted as the authority on test design decisions</t>
        </is>
      </c>
    </row>
    <row r="13">
      <c r="A13" s="6" t="inlineStr"/>
      <c r="B13" s="6" t="inlineStr"/>
      <c r="C13" s="20" t="inlineStr">
        <is>
          <t>• I can write reusable and maintainable test cases</t>
        </is>
      </c>
      <c r="D13" s="20" t="inlineStr">
        <is>
          <t>• I can adapt test design approach based on project context</t>
        </is>
      </c>
      <c r="E13" s="6" t="inlineStr"/>
    </row>
    <row r="15">
      <c r="A15" s="14" t="inlineStr">
        <is>
          <t>System &amp; Domain Understanding</t>
        </is>
      </c>
    </row>
    <row r="16">
      <c r="A16" s="15" t="inlineStr">
        <is>
          <t>1-NOVICE</t>
        </is>
      </c>
      <c r="B16" s="16" t="inlineStr">
        <is>
          <t>2-ADV BEGINNER</t>
        </is>
      </c>
      <c r="C16" s="17" t="inlineStr">
        <is>
          <t>3-COMPETENT</t>
        </is>
      </c>
      <c r="D16" s="18" t="inlineStr">
        <is>
          <t>4-PROFICIENT</t>
        </is>
      </c>
      <c r="E16" s="19" t="inlineStr">
        <is>
          <t>5-EXPERT</t>
        </is>
      </c>
    </row>
    <row r="17">
      <c r="A17" s="20" t="inlineStr">
        <is>
          <t>• I understand the basic functionality of my assigned feature</t>
        </is>
      </c>
      <c r="B17" s="20" t="inlineStr">
        <is>
          <t>• I understand how my feature integrates with adjacent modules</t>
        </is>
      </c>
      <c r="C17" s="20" t="inlineStr">
        <is>
          <t>• I understand the end-to-end flow of major business processes</t>
        </is>
      </c>
      <c r="D17" s="20" t="inlineStr">
        <is>
          <t>• I have deep knowledge of system architecture and design patterns</t>
        </is>
      </c>
      <c r="E17" s="20" t="inlineStr">
        <is>
          <t>• I have comprehensive mental model of the entire ecosystem</t>
        </is>
      </c>
    </row>
    <row r="18">
      <c r="A18" s="20" t="inlineStr">
        <is>
          <t>• I can navigate the application UI for my testing scope</t>
        </is>
      </c>
      <c r="B18" s="20" t="inlineStr">
        <is>
          <t>• I can identify basic dependencies between components</t>
        </is>
      </c>
      <c r="C18" s="20" t="inlineStr">
        <is>
          <t>• I can identify integration points and potential failure modes</t>
        </is>
      </c>
      <c r="D18" s="20" t="inlineStr">
        <is>
          <t>• I can identify performance bottlenecks and scalability concerns</t>
        </is>
      </c>
      <c r="E18" s="20" t="inlineStr">
        <is>
          <t>• I can identify systemic risks that span multiple domains</t>
        </is>
      </c>
    </row>
    <row r="19">
      <c r="A19" s="20" t="inlineStr">
        <is>
          <t>• I need help understanding how my feature connects to others</t>
        </is>
      </c>
      <c r="B19" s="20" t="inlineStr">
        <is>
          <t>• I understand the main user workflows in my area</t>
        </is>
      </c>
      <c r="C19" s="20" t="inlineStr">
        <is>
          <t>• I understand the data flow across system components</t>
        </is>
      </c>
      <c r="D19" s="20" t="inlineStr">
        <is>
          <t>• I understand failure modes and recovery mechanisms</t>
        </is>
      </c>
      <c r="E19" s="20" t="inlineStr">
        <is>
          <t>• I influence architectural decisions with quality perspective</t>
        </is>
      </c>
    </row>
    <row r="20">
      <c r="A20" s="20" t="inlineStr">
        <is>
          <t>• I rely on documentation to understand system behavior</t>
        </is>
      </c>
      <c r="B20" s="20" t="inlineStr">
        <is>
          <t>• I can explain the business purpose of features I test</t>
        </is>
      </c>
      <c r="C20" s="20" t="inlineStr">
        <is>
          <t>• I can predict impact of changes on downstream systems</t>
        </is>
      </c>
      <c r="D20" s="20" t="inlineStr">
        <is>
          <t>• I can predict side effects of changes across the system</t>
        </is>
      </c>
      <c r="E20" s="20" t="inlineStr">
        <is>
          <t>• I can predict long-term implications of design choices</t>
        </is>
      </c>
    </row>
    <row r="21">
      <c r="A21" s="20" t="inlineStr">
        <is>
          <t>• I ask questions when I encounter unfamiliar functionality</t>
        </is>
      </c>
      <c r="B21" s="20" t="inlineStr">
        <is>
          <t>• I recognize when a change might affect related features</t>
        </is>
      </c>
      <c r="C21" s="20" t="inlineStr">
        <is>
          <t>• I understand the technical architecture at a high level</t>
        </is>
      </c>
      <c r="D21" s="20" t="inlineStr">
        <is>
          <t>• I am the go-to person for system knowledge in my area</t>
        </is>
      </c>
      <c r="E21" s="20" t="inlineStr">
        <is>
          <t>• I am consulted for critical system decisions</t>
        </is>
      </c>
    </row>
    <row r="22">
      <c r="A22" s="6" t="inlineStr"/>
      <c r="B22" s="6" t="inlineStr"/>
      <c r="C22" s="20" t="inlineStr">
        <is>
          <t>• I can identify which teams/services to involve for issues</t>
        </is>
      </c>
      <c r="D22" s="20" t="inlineStr">
        <is>
          <t>• I can onboard new team members on system understanding</t>
        </is>
      </c>
      <c r="E22" s="20" t="inlineStr">
        <is>
          <t>• I can identify opportunities for system-wide improvements</t>
        </is>
      </c>
    </row>
    <row r="24">
      <c r="A24" s="14" t="inlineStr">
        <is>
          <t>Bug Analysis &amp; Reporting</t>
        </is>
      </c>
    </row>
    <row r="25">
      <c r="A25" s="15" t="inlineStr">
        <is>
          <t>1-NOVICE</t>
        </is>
      </c>
      <c r="B25" s="16" t="inlineStr">
        <is>
          <t>2-ADV BEGINNER</t>
        </is>
      </c>
      <c r="C25" s="17" t="inlineStr">
        <is>
          <t>3-COMPETENT</t>
        </is>
      </c>
      <c r="D25" s="18" t="inlineStr">
        <is>
          <t>4-PROFICIENT</t>
        </is>
      </c>
      <c r="E25" s="19" t="inlineStr">
        <is>
          <t>5-EXPERT</t>
        </is>
      </c>
    </row>
    <row r="26">
      <c r="A26" s="20" t="inlineStr">
        <is>
          <t>• I can report bugs with basic information (title, steps, actual/expected)</t>
        </is>
      </c>
      <c r="B26" s="20" t="inlineStr">
        <is>
          <t>• I can write clear, reproducible bug reports</t>
        </is>
      </c>
      <c r="C26" s="20" t="inlineStr">
        <is>
          <t>• I can identify the probable component/module causing the bug</t>
        </is>
      </c>
      <c r="D26" s="20" t="inlineStr">
        <is>
          <t>• I can trace bugs to code level (with logs/debugging)</t>
        </is>
      </c>
      <c r="E26" s="20" t="inlineStr">
        <is>
          <t>• I can predict defect-prone areas before testing begins</t>
        </is>
      </c>
    </row>
    <row r="27">
      <c r="A27" s="20" t="inlineStr">
        <is>
          <t>• I follow the bug report template provided</t>
        </is>
      </c>
      <c r="B27" s="20" t="inlineStr">
        <is>
          <t>• I can determine appropriate severity and priority</t>
        </is>
      </c>
      <c r="C27" s="20" t="inlineStr">
        <is>
          <t>• I can suggest potential root causes to developers</t>
        </is>
      </c>
      <c r="D27" s="20" t="inlineStr">
        <is>
          <t>• I can identify systemic issues from individual bug patterns</t>
        </is>
      </c>
      <c r="E27" s="20" t="inlineStr">
        <is>
          <t>• I can design defect prevention strategies</t>
        </is>
      </c>
    </row>
    <row r="28">
      <c r="A28" s="20" t="inlineStr">
        <is>
          <t>• I include screenshots to support my bug reports</t>
        </is>
      </c>
      <c r="B28" s="20" t="inlineStr">
        <is>
          <t>• I include relevant environment and data information</t>
        </is>
      </c>
      <c r="C28" s="20" t="inlineStr">
        <is>
          <t>• I can identify patterns across multiple bugs</t>
        </is>
      </c>
      <c r="D28" s="20" t="inlineStr">
        <is>
          <t>• I can analyze bug trends to identify quality hotspots</t>
        </is>
      </c>
      <c r="E28" s="20" t="inlineStr">
        <is>
          <t>• I can correlate defects with development practices</t>
        </is>
      </c>
    </row>
    <row r="29">
      <c r="A29" s="20" t="inlineStr">
        <is>
          <t>• I need help determining bug severity and priority</t>
        </is>
      </c>
      <c r="B29" s="20" t="inlineStr">
        <is>
          <t>• I can isolate bugs to specific steps or conditions</t>
        </is>
      </c>
      <c r="C29" s="20" t="inlineStr">
        <is>
          <t>• I can distinguish between bugs, enhancements, and config issues</t>
        </is>
      </c>
      <c r="D29" s="20" t="inlineStr">
        <is>
          <t>• I can recommend preventive measures based on bug analysis</t>
        </is>
      </c>
      <c r="E29" s="20" t="inlineStr">
        <is>
          <t>• I can establish bug analysis standards for the organization</t>
        </is>
      </c>
    </row>
    <row r="30">
      <c r="A30" s="20" t="inlineStr">
        <is>
          <t>• I report what I observe without deep analysis</t>
        </is>
      </c>
      <c r="B30" s="20" t="inlineStr">
        <is>
          <t>• I can identify if a bug is a duplicate of existing issues</t>
        </is>
      </c>
      <c r="C30" s="20" t="inlineStr">
        <is>
          <t>• I can provide workarounds for critical bugs</t>
        </is>
      </c>
      <c r="D30" s="20" t="inlineStr">
        <is>
          <t>• I can mentor others on effective bug reporting</t>
        </is>
      </c>
      <c r="E30" s="20" t="inlineStr">
        <is>
          <t>• I drive quality improvements based on defect insights</t>
        </is>
      </c>
    </row>
    <row r="31">
      <c r="A31" s="6" t="inlineStr"/>
      <c r="B31" s="20" t="inlineStr">
        <is>
          <t>• I follow up on bugs to ensure they are addressed</t>
        </is>
      </c>
      <c r="C31" s="20" t="inlineStr">
        <is>
          <t>• I can prioritize bugs based on business impact</t>
        </is>
      </c>
      <c r="D31" s="20" t="inlineStr">
        <is>
          <t>• I can facilitate bug triage meetings effectively</t>
        </is>
      </c>
      <c r="E31" s="20" t="inlineStr">
        <is>
          <t>• I am consulted for critical production issues</t>
        </is>
      </c>
    </row>
    <row r="32">
      <c r="A32" s="6" t="inlineStr"/>
      <c r="B32" s="6" t="inlineStr"/>
      <c r="C32" s="20" t="inlineStr">
        <is>
          <t>• I can write bugs that developers can fix without clarification</t>
        </is>
      </c>
      <c r="D32" s="6" t="inlineStr"/>
      <c r="E32" s="6" t="inlineStr"/>
    </row>
    <row r="35">
      <c r="A35" s="13" t="inlineStr">
        <is>
          <t>🎯 PROBLEM SOLVING</t>
        </is>
      </c>
    </row>
    <row r="36">
      <c r="A36" s="14" t="inlineStr">
        <is>
          <t>Root Cause Analysis</t>
        </is>
      </c>
    </row>
    <row r="37">
      <c r="A37" s="15" t="inlineStr">
        <is>
          <t>1-NOVICE</t>
        </is>
      </c>
      <c r="B37" s="16" t="inlineStr">
        <is>
          <t>2-ADV BEGINNER</t>
        </is>
      </c>
      <c r="C37" s="17" t="inlineStr">
        <is>
          <t>3-COMPETENT</t>
        </is>
      </c>
      <c r="D37" s="18" t="inlineStr">
        <is>
          <t>4-PROFICIENT</t>
        </is>
      </c>
      <c r="E37" s="19" t="inlineStr">
        <is>
          <t>5-EXPERT</t>
        </is>
      </c>
    </row>
    <row r="38">
      <c r="A38" s="20" t="inlineStr">
        <is>
          <t>• I can describe what went wrong (the symptom)</t>
        </is>
      </c>
      <c r="B38" s="20" t="inlineStr">
        <is>
          <t>• I can ask 'why' to dig deeper into problems</t>
        </is>
      </c>
      <c r="C38" s="20" t="inlineStr">
        <is>
          <t>• I can apply 5-Whys technique systematically</t>
        </is>
      </c>
      <c r="D38" s="20" t="inlineStr">
        <is>
          <t>• I can connect root causes across multiple incidents</t>
        </is>
      </c>
      <c r="E38" s="20" t="inlineStr">
        <is>
          <t>• I can design RCA frameworks for the organization</t>
        </is>
      </c>
    </row>
    <row r="39">
      <c r="A39" s="20" t="inlineStr">
        <is>
          <t>• I can gather basic information about the problem</t>
        </is>
      </c>
      <c r="B39" s="20" t="inlineStr">
        <is>
          <t>• I can identify obvious causes of simple issues</t>
        </is>
      </c>
      <c r="C39" s="20" t="inlineStr">
        <is>
          <t>• I can use fishbone diagrams for complex problems</t>
        </is>
      </c>
      <c r="D39" s="20" t="inlineStr">
        <is>
          <t>• I can identify systemic issues from individual problems</t>
        </is>
      </c>
      <c r="E39" s="20" t="inlineStr">
        <is>
          <t>• I can identify root causes of organizational issues</t>
        </is>
      </c>
    </row>
    <row r="40">
      <c r="A40" s="20" t="inlineStr">
        <is>
          <t>• I escalate issues when I cannot solve them</t>
        </is>
      </c>
      <c r="B40" s="20" t="inlineStr">
        <is>
          <t>• I can check logs and error messages for clues</t>
        </is>
      </c>
      <c r="C40" s="20" t="inlineStr">
        <is>
          <t>• I can identify contributing factors vs root causes</t>
        </is>
      </c>
      <c r="D40" s="20" t="inlineStr">
        <is>
          <t>• I can lead RCA sessions with cross-functional teams</t>
        </is>
      </c>
      <c r="E40" s="20" t="inlineStr">
        <is>
          <t>• I can build systems that prevent problems from recurring</t>
        </is>
      </c>
    </row>
    <row r="41">
      <c r="A41" s="20" t="inlineStr">
        <is>
          <t>• I document problems for others to investigate</t>
        </is>
      </c>
      <c r="B41" s="20" t="inlineStr">
        <is>
          <t>• I can compare working vs non-working scenarios</t>
        </is>
      </c>
      <c r="C41" s="20" t="inlineStr">
        <is>
          <t>• I can correlate issues across different data sources</t>
        </is>
      </c>
      <c r="D41" s="20" t="inlineStr">
        <is>
          <t>• I can prioritize root causes by impact and feasibility</t>
        </is>
      </c>
      <c r="E41" s="20" t="inlineStr">
        <is>
          <t>• I can analyze industry incidents for preventive learning</t>
        </is>
      </c>
    </row>
    <row r="42">
      <c r="A42" s="20" t="inlineStr">
        <is>
          <t>• I need guidance on how to investigate issues</t>
        </is>
      </c>
      <c r="B42" s="20" t="inlineStr">
        <is>
          <t>• I can rule out common causes systematically</t>
        </is>
      </c>
      <c r="C42" s="20" t="inlineStr">
        <is>
          <t>• I can document RCA findings for knowledge sharing</t>
        </is>
      </c>
      <c r="D42" s="20" t="inlineStr">
        <is>
          <t>• I can design experiments to validate root cause hypotheses</t>
        </is>
      </c>
      <c r="E42" s="20" t="inlineStr">
        <is>
          <t>• I am the escalation point for critical RCA</t>
        </is>
      </c>
    </row>
    <row r="43">
      <c r="A43" s="6" t="inlineStr"/>
      <c r="B43" s="6" t="inlineStr"/>
      <c r="C43" s="20" t="inlineStr">
        <is>
          <t>• I can propose solutions that address root cause</t>
        </is>
      </c>
      <c r="D43" s="20" t="inlineStr">
        <is>
          <t>• I can mentor others on RCA techniques</t>
        </is>
      </c>
      <c r="E43" s="20" t="inlineStr">
        <is>
          <t>• I influence engineering practices based on RCA insights</t>
        </is>
      </c>
    </row>
    <row r="45">
      <c r="A45" s="14" t="inlineStr">
        <is>
          <t>Risk Assessment</t>
        </is>
      </c>
    </row>
    <row r="46">
      <c r="A46" s="15" t="inlineStr">
        <is>
          <t>1-NOVICE</t>
        </is>
      </c>
      <c r="B46" s="16" t="inlineStr">
        <is>
          <t>2-ADV BEGINNER</t>
        </is>
      </c>
      <c r="C46" s="17" t="inlineStr">
        <is>
          <t>3-COMPETENT</t>
        </is>
      </c>
      <c r="D46" s="18" t="inlineStr">
        <is>
          <t>4-PROFICIENT</t>
        </is>
      </c>
      <c r="E46" s="19" t="inlineStr">
        <is>
          <t>5-EXPERT</t>
        </is>
      </c>
    </row>
    <row r="47">
      <c r="A47" s="20" t="inlineStr">
        <is>
          <t>• I am learning to identify what could go wrong</t>
        </is>
      </c>
      <c r="B47" s="20" t="inlineStr">
        <is>
          <t>• I can identify obvious risks in my testing area</t>
        </is>
      </c>
      <c r="C47" s="20" t="inlineStr">
        <is>
          <t>• I proactively identify and document risks</t>
        </is>
      </c>
      <c r="D47" s="20" t="inlineStr">
        <is>
          <t>• I can quantify business impact of quality risks</t>
        </is>
      </c>
      <c r="E47" s="20" t="inlineStr">
        <is>
          <t>• I can shape release strategy based on holistic risk view</t>
        </is>
      </c>
    </row>
    <row r="48">
      <c r="A48" s="20" t="inlineStr">
        <is>
          <t>• I follow risk checklists when provided</t>
        </is>
      </c>
      <c r="B48" s="20" t="inlineStr">
        <is>
          <t>• I can flag risks when I notice them</t>
        </is>
      </c>
      <c r="C48" s="20" t="inlineStr">
        <is>
          <t>• I can assess likelihood and impact of risks</t>
        </is>
      </c>
      <c r="D48" s="20" t="inlineStr">
        <is>
          <t>• I can create risk matrices for complex releases</t>
        </is>
      </c>
      <c r="E48" s="20" t="inlineStr">
        <is>
          <t>• I can identify strategic/long-term quality risks</t>
        </is>
      </c>
    </row>
    <row r="49">
      <c r="A49" s="20" t="inlineStr">
        <is>
          <t>• I report concerns to senior team members</t>
        </is>
      </c>
      <c r="B49" s="20" t="inlineStr">
        <is>
          <t>• I understand the difference between high and low risk items</t>
        </is>
      </c>
      <c r="C49" s="20" t="inlineStr">
        <is>
          <t>• I can prioritize testing based on risk levels</t>
        </is>
      </c>
      <c r="D49" s="20" t="inlineStr">
        <is>
          <t>• I can balance risk vs time/resource constraints</t>
        </is>
      </c>
      <c r="E49" s="20" t="inlineStr">
        <is>
          <t>• I can establish risk management frameworks</t>
        </is>
      </c>
    </row>
    <row r="50">
      <c r="A50" s="20" t="inlineStr">
        <is>
          <t>• I need help understanding which risks are important</t>
        </is>
      </c>
      <c r="B50" s="20" t="inlineStr">
        <is>
          <t>• I can identify risks related to new or changed functionality</t>
        </is>
      </c>
      <c r="C50" s="20" t="inlineStr">
        <is>
          <t>• I can communicate risks to stakeholders effectively</t>
        </is>
      </c>
      <c r="D50" s="20" t="inlineStr">
        <is>
          <t>• I can influence release decisions based on risk assessment</t>
        </is>
      </c>
      <c r="E50" s="20" t="inlineStr">
        <is>
          <t>• I can advise leadership on quality risk decisions</t>
        </is>
      </c>
    </row>
    <row r="51">
      <c r="A51" s="20" t="inlineStr">
        <is>
          <t>• I focus on completing my assigned tasks</t>
        </is>
      </c>
      <c r="B51" s="20" t="inlineStr">
        <is>
          <t>• I ask about risks during requirement discussions</t>
        </is>
      </c>
      <c r="C51" s="20" t="inlineStr">
        <is>
          <t>• I can propose mitigation strategies for risks</t>
        </is>
      </c>
      <c r="D51" s="20" t="inlineStr">
        <is>
          <t>• I can identify risks that others miss</t>
        </is>
      </c>
      <c r="E51" s="20" t="inlineStr">
        <is>
          <t>• I can correlate technical risks with business outcomes</t>
        </is>
      </c>
    </row>
    <row r="52">
      <c r="A52" s="6" t="inlineStr"/>
      <c r="B52" s="6" t="inlineStr"/>
      <c r="C52" s="20" t="inlineStr">
        <is>
          <t>• I can identify risks in requirements and designs early</t>
        </is>
      </c>
      <c r="D52" s="20" t="inlineStr">
        <is>
          <t>• I can design risk-based testing strategies</t>
        </is>
      </c>
      <c r="E52" s="20" t="inlineStr">
        <is>
          <t>• I am consulted for critical go/no-go decisions</t>
        </is>
      </c>
    </row>
    <row r="54">
      <c r="A54" s="14" t="inlineStr">
        <is>
          <t>Prevention Mindset</t>
        </is>
      </c>
    </row>
    <row r="55">
      <c r="A55" s="15" t="inlineStr">
        <is>
          <t>1-NOVICE</t>
        </is>
      </c>
      <c r="B55" s="16" t="inlineStr">
        <is>
          <t>2-ADV BEGINNER</t>
        </is>
      </c>
      <c r="C55" s="17" t="inlineStr">
        <is>
          <t>3-COMPETENT</t>
        </is>
      </c>
      <c r="D55" s="18" t="inlineStr">
        <is>
          <t>4-PROFICIENT</t>
        </is>
      </c>
      <c r="E55" s="19" t="inlineStr">
        <is>
          <t>5-EXPERT</t>
        </is>
      </c>
    </row>
    <row r="56">
      <c r="A56" s="20" t="inlineStr">
        <is>
          <t>• I find bugs during testing (reactive)</t>
        </is>
      </c>
      <c r="B56" s="20" t="inlineStr">
        <is>
          <t>• I suggest fixes for bugs I find</t>
        </is>
      </c>
      <c r="C56" s="20" t="inlineStr">
        <is>
          <t>• I propose process improvements to prevent bugs</t>
        </is>
      </c>
      <c r="D56" s="20" t="inlineStr">
        <is>
          <t>• I implement automated quality gates in CI/CD</t>
        </is>
      </c>
      <c r="E56" s="20" t="inlineStr">
        <is>
          <t>• I create a culture where quality is everyone's responsibility</t>
        </is>
      </c>
    </row>
    <row r="57">
      <c r="A57" s="20" t="inlineStr">
        <is>
          <t>• I report issues I discover</t>
        </is>
      </c>
      <c r="B57" s="20" t="inlineStr">
        <is>
          <t>• I identify simple improvements to prevent recurrence</t>
        </is>
      </c>
      <c r="C57" s="20" t="inlineStr">
        <is>
          <t>• I actively participate in requirement/design reviews</t>
        </is>
      </c>
      <c r="D57" s="20" t="inlineStr">
        <is>
          <t>• I design shift-left testing strategies</t>
        </is>
      </c>
      <c r="E57" s="20" t="inlineStr">
        <is>
          <t>• I design organization-wide defect prevention programs</t>
        </is>
      </c>
    </row>
    <row r="58">
      <c r="A58" s="20" t="inlineStr">
        <is>
          <t>• I am learning about quality practices</t>
        </is>
      </c>
      <c r="B58" s="20" t="inlineStr">
        <is>
          <t>• I share learnings from bugs with the team</t>
        </is>
      </c>
      <c r="C58" s="20" t="inlineStr">
        <is>
          <t>• I identify testability issues early in the cycle</t>
        </is>
      </c>
      <c r="D58" s="20" t="inlineStr">
        <is>
          <t>• I coach developers on testing practices</t>
        </is>
      </c>
      <c r="E58" s="20" t="inlineStr">
        <is>
          <t>• I influence engineering practices for quality</t>
        </is>
      </c>
    </row>
    <row r="59">
      <c r="A59" s="20" t="inlineStr">
        <is>
          <t>• I follow the testing process defined by the team</t>
        </is>
      </c>
      <c r="B59" s="20" t="inlineStr">
        <is>
          <t>• I understand the value of early testing</t>
        </is>
      </c>
      <c r="C59" s="20" t="inlineStr">
        <is>
          <t>• I suggest automation for repetitive checks</t>
        </is>
      </c>
      <c r="D59" s="20" t="inlineStr">
        <is>
          <t>• I identify and address quality issues at source</t>
        </is>
      </c>
      <c r="E59" s="20" t="inlineStr">
        <is>
          <t>• I establish metrics to track prevention effectiveness</t>
        </is>
      </c>
    </row>
    <row r="60">
      <c r="A60" s="20" t="inlineStr">
        <is>
          <t>• I focus on my immediate testing tasks</t>
        </is>
      </c>
      <c r="B60" s="20" t="inlineStr">
        <is>
          <t>• I participate in requirement reviews when invited</t>
        </is>
      </c>
      <c r="C60" s="20" t="inlineStr">
        <is>
          <t>• I create checklists to prevent common issues</t>
        </is>
      </c>
      <c r="D60" s="20" t="inlineStr">
        <is>
          <t>• I measure and improve prevention effectiveness</t>
        </is>
      </c>
      <c r="E60" s="20" t="inlineStr">
        <is>
          <t>• I am a thought leader on quality engineering</t>
        </is>
      </c>
    </row>
    <row r="61">
      <c r="A61" s="6" t="inlineStr"/>
      <c r="B61" s="6" t="inlineStr"/>
      <c r="C61" s="20" t="inlineStr">
        <is>
          <t>• I share quality learnings across the team</t>
        </is>
      </c>
      <c r="D61" s="20" t="inlineStr">
        <is>
          <t>• I lead initiatives to reduce defect injection</t>
        </is>
      </c>
      <c r="E61" s="20" t="inlineStr">
        <is>
          <t>• I drive industry best practices adoption</t>
        </is>
      </c>
    </row>
    <row r="64">
      <c r="A64" s="13" t="inlineStr">
        <is>
          <t>🎯 IMPACT &amp; OWNERSHIP</t>
        </is>
      </c>
    </row>
    <row r="65">
      <c r="A65" s="14" t="inlineStr">
        <is>
          <t>PIC (Person-In-Charge) Behavior</t>
        </is>
      </c>
    </row>
    <row r="66">
      <c r="A66" s="15" t="inlineStr">
        <is>
          <t>1-NOVICE</t>
        </is>
      </c>
      <c r="B66" s="16" t="inlineStr">
        <is>
          <t>2-ADV BEGINNER</t>
        </is>
      </c>
      <c r="C66" s="17" t="inlineStr">
        <is>
          <t>3-COMPETENT</t>
        </is>
      </c>
      <c r="D66" s="18" t="inlineStr">
        <is>
          <t>4-PROFICIENT</t>
        </is>
      </c>
      <c r="E66" s="19" t="inlineStr">
        <is>
          <t>5-EXPERT</t>
        </is>
      </c>
    </row>
    <row r="67">
      <c r="A67" s="20" t="inlineStr">
        <is>
          <t>• I complete tasks assigned to me</t>
        </is>
      </c>
      <c r="B67" s="20" t="inlineStr">
        <is>
          <t>• I take ownership of my assigned test areas</t>
        </is>
      </c>
      <c r="C67" s="20" t="inlineStr">
        <is>
          <t>• I own the quality of features end-to-end</t>
        </is>
      </c>
      <c r="D67" s="20" t="inlineStr">
        <is>
          <t>• I own quality for my product area across releases</t>
        </is>
      </c>
      <c r="E67" s="20" t="inlineStr">
        <is>
          <t>• I own organizational quality standards and practices</t>
        </is>
      </c>
    </row>
    <row r="68">
      <c r="A68" s="20" t="inlineStr">
        <is>
          <t>• I ask for help when I am stuck</t>
        </is>
      </c>
      <c r="B68" s="20" t="inlineStr">
        <is>
          <t>• I proactively update status without being asked</t>
        </is>
      </c>
      <c r="C68" s="20" t="inlineStr">
        <is>
          <t>• I drive issues to resolution, not just report them</t>
        </is>
      </c>
      <c r="D68" s="20" t="inlineStr">
        <is>
          <t>• I take ownership of problems even outside my scope</t>
        </is>
      </c>
      <c r="E68" s="20" t="inlineStr">
        <is>
          <t>• The buck stops with me for critical quality decisions</t>
        </is>
      </c>
    </row>
    <row r="69">
      <c r="A69" s="20" t="inlineStr">
        <is>
          <t>• I wait for instructions on what to do next</t>
        </is>
      </c>
      <c r="B69" s="20" t="inlineStr">
        <is>
          <t>• I identify blockers and escalate appropriately</t>
        </is>
      </c>
      <c r="C69" s="20" t="inlineStr">
        <is>
          <t>• I coordinate with developers and PMs proactively</t>
        </is>
      </c>
      <c r="D69" s="20" t="inlineStr">
        <is>
          <t>• I am accountable for outcomes, not just activities</t>
        </is>
      </c>
      <c r="E69" s="20" t="inlineStr">
        <is>
          <t>• I take ownership of quality culture and mindset</t>
        </is>
      </c>
    </row>
    <row r="70">
      <c r="A70" s="20" t="inlineStr">
        <is>
          <t>• I focus on my individual deliverables</t>
        </is>
      </c>
      <c r="B70" s="20" t="inlineStr">
        <is>
          <t>• I follow through on my commitments</t>
        </is>
      </c>
      <c r="C70" s="20" t="inlineStr">
        <is>
          <t>• I take responsibility for test coverage decisions</t>
        </is>
      </c>
      <c r="D70" s="20" t="inlineStr">
        <is>
          <t>• I proactively identify and address quality gaps</t>
        </is>
      </c>
      <c r="E70" s="20" t="inlineStr">
        <is>
          <t>• I am accountable for quality strategy and direction</t>
        </is>
      </c>
    </row>
    <row r="71">
      <c r="A71" s="20" t="inlineStr">
        <is>
          <t>• I am learning the team processes</t>
        </is>
      </c>
      <c r="B71" s="20" t="inlineStr">
        <is>
          <t>• I take initiative on small improvements</t>
        </is>
      </c>
      <c r="C71" s="20" t="inlineStr">
        <is>
          <t>• I ensure nothing falls through the cracks in my area</t>
        </is>
      </c>
      <c r="D71" s="20" t="inlineStr">
        <is>
          <t>• I represent quality in cross-functional discussions</t>
        </is>
      </c>
      <c r="E71" s="20" t="inlineStr">
        <is>
          <t>• I represent quality at leadership level</t>
        </is>
      </c>
    </row>
    <row r="72">
      <c r="A72" s="6" t="inlineStr"/>
      <c r="B72" s="6" t="inlineStr"/>
      <c r="C72" s="20" t="inlineStr">
        <is>
          <t>• I am accountable for release quality of my features</t>
        </is>
      </c>
      <c r="D72" s="20" t="inlineStr">
        <is>
          <t>• I am trusted to handle ambiguous situations</t>
        </is>
      </c>
      <c r="E72" s="20" t="inlineStr">
        <is>
          <t>• I own the quality reputation of the organization</t>
        </is>
      </c>
    </row>
    <row r="74">
      <c r="A74" s="14" t="inlineStr">
        <is>
          <t>E2E Accountability</t>
        </is>
      </c>
    </row>
    <row r="75">
      <c r="A75" s="15" t="inlineStr">
        <is>
          <t>1-NOVICE</t>
        </is>
      </c>
      <c r="B75" s="16" t="inlineStr">
        <is>
          <t>2-ADV BEGINNER</t>
        </is>
      </c>
      <c r="C75" s="17" t="inlineStr">
        <is>
          <t>3-COMPETENT</t>
        </is>
      </c>
      <c r="D75" s="18" t="inlineStr">
        <is>
          <t>4-PROFICIENT</t>
        </is>
      </c>
      <c r="E75" s="19" t="inlineStr">
        <is>
          <t>5-EXPERT</t>
        </is>
      </c>
    </row>
    <row r="76">
      <c r="A76" s="20" t="inlineStr">
        <is>
          <t>• I test the specific scenarios assigned to me</t>
        </is>
      </c>
      <c r="B76" s="20" t="inlineStr">
        <is>
          <t>• I consider how my feature affects adjacent areas</t>
        </is>
      </c>
      <c r="C76" s="20" t="inlineStr">
        <is>
          <t>• I validate complete user journeys, not just features</t>
        </is>
      </c>
      <c r="D76" s="20" t="inlineStr">
        <is>
          <t>• I ensure production readiness across teams</t>
        </is>
      </c>
      <c r="E76" s="20" t="inlineStr">
        <is>
          <t>• I ensure business outcomes are protected by quality</t>
        </is>
      </c>
    </row>
    <row r="77">
      <c r="A77" s="20" t="inlineStr">
        <is>
          <t>• I verify my test cases pass or fail</t>
        </is>
      </c>
      <c r="B77" s="20" t="inlineStr">
        <is>
          <t>• I verify basic integration points work</t>
        </is>
      </c>
      <c r="C77" s="20" t="inlineStr">
        <is>
          <t>• I ensure integration between components works</t>
        </is>
      </c>
      <c r="D77" s="20" t="inlineStr">
        <is>
          <t>• I validate cross-system dependencies work</t>
        </is>
      </c>
      <c r="E77" s="20" t="inlineStr">
        <is>
          <t>• I validate organizational readiness for changes</t>
        </is>
      </c>
    </row>
    <row r="78">
      <c r="A78" s="20" t="inlineStr">
        <is>
          <t>• I focus on my assigned scope</t>
        </is>
      </c>
      <c r="B78" s="20" t="inlineStr">
        <is>
          <t>• I follow up on bugs until they are fixed</t>
        </is>
      </c>
      <c r="C78" s="20" t="inlineStr">
        <is>
          <t>• I verify production readiness (logs, monitoring, etc.)</t>
        </is>
      </c>
      <c r="D78" s="20" t="inlineStr">
        <is>
          <t>• I ensure operational readiness (support, runbooks)</t>
        </is>
      </c>
      <c r="E78" s="20" t="inlineStr">
        <is>
          <t>• I ensure quality across the entire value stream</t>
        </is>
      </c>
    </row>
    <row r="79">
      <c r="A79" s="20" t="inlineStr">
        <is>
          <t>• I hand off issues to others for follow-up</t>
        </is>
      </c>
      <c r="B79" s="20" t="inlineStr">
        <is>
          <t>• I ensure my test coverage is complete</t>
        </is>
      </c>
      <c r="C79" s="20" t="inlineStr">
        <is>
          <t>• I consider non-functional aspects (performance, security)</t>
        </is>
      </c>
      <c r="D79" s="20" t="inlineStr">
        <is>
          <t>• I consider customer experience end-to-end</t>
        </is>
      </c>
      <c r="E79" s="20" t="inlineStr">
        <is>
          <t>• I am accountable for customer satisfaction</t>
        </is>
      </c>
    </row>
    <row r="80">
      <c r="A80" s="20" t="inlineStr">
        <is>
          <t>• I need guidance on what 'done' looks like</t>
        </is>
      </c>
      <c r="B80" s="20" t="inlineStr">
        <is>
          <t>• I validate fixes before closing bugs</t>
        </is>
      </c>
      <c r="C80" s="20" t="inlineStr">
        <is>
          <t>• I ensure documentation is updated</t>
        </is>
      </c>
      <c r="D80" s="20" t="inlineStr">
        <is>
          <t>• I validate business outcomes are achievable</t>
        </is>
      </c>
      <c r="E80" s="20" t="inlineStr">
        <is>
          <t>• I ensure quality enables business success</t>
        </is>
      </c>
    </row>
    <row r="81">
      <c r="A81" s="6" t="inlineStr"/>
      <c r="B81" s="6" t="inlineStr"/>
      <c r="C81" s="20" t="inlineStr">
        <is>
          <t>• I validate deployment and rollback procedures</t>
        </is>
      </c>
      <c r="D81" s="20" t="inlineStr">
        <is>
          <t>• I coordinate quality across multiple teams</t>
        </is>
      </c>
      <c r="E81" s="20" t="inlineStr">
        <is>
          <t>• I validate strategic initiatives deliver value</t>
        </is>
      </c>
    </row>
    <row r="84">
      <c r="A84" s="13" t="inlineStr">
        <is>
          <t>🎯 COMMUNICATION</t>
        </is>
      </c>
    </row>
    <row r="85">
      <c r="A85" s="14" t="inlineStr">
        <is>
          <t>Dev/PM Alignment</t>
        </is>
      </c>
    </row>
    <row r="86">
      <c r="A86" s="15" t="inlineStr">
        <is>
          <t>1-NOVICE</t>
        </is>
      </c>
      <c r="B86" s="16" t="inlineStr">
        <is>
          <t>2-ADV BEGINNER</t>
        </is>
      </c>
      <c r="C86" s="17" t="inlineStr">
        <is>
          <t>3-COMPETENT</t>
        </is>
      </c>
      <c r="D86" s="18" t="inlineStr">
        <is>
          <t>4-PROFICIENT</t>
        </is>
      </c>
      <c r="E86" s="19" t="inlineStr">
        <is>
          <t>5-EXPERT</t>
        </is>
      </c>
    </row>
    <row r="87">
      <c r="A87" s="20" t="inlineStr">
        <is>
          <t>• I report bugs and test results</t>
        </is>
      </c>
      <c r="B87" s="20" t="inlineStr">
        <is>
          <t>• I explain the impact of bugs clearly</t>
        </is>
      </c>
      <c r="C87" s="20" t="inlineStr">
        <is>
          <t>• I negotiate bug priorities with dev and PM</t>
        </is>
      </c>
      <c r="D87" s="20" t="inlineStr">
        <is>
          <t>• I influence sprint planning with quality insights</t>
        </is>
      </c>
      <c r="E87" s="20" t="inlineStr">
        <is>
          <t>• I shape product roadmap with quality perspective</t>
        </is>
      </c>
    </row>
    <row r="88">
      <c r="A88" s="20" t="inlineStr">
        <is>
          <t>• I ask developers for help with issues</t>
        </is>
      </c>
      <c r="B88" s="20" t="inlineStr">
        <is>
          <t>• I discuss test scenarios with developers</t>
        </is>
      </c>
      <c r="C88" s="20" t="inlineStr">
        <is>
          <t>• I provide quality input during planning</t>
        </is>
      </c>
      <c r="D88" s="20" t="inlineStr">
        <is>
          <t>• I am a trusted partner to dev and PM leads</t>
        </is>
      </c>
      <c r="E88" s="20" t="inlineStr">
        <is>
          <t>• I influence product strategy and priorities</t>
        </is>
      </c>
    </row>
    <row r="89">
      <c r="A89" s="20" t="inlineStr">
        <is>
          <t>• I attend team meetings</t>
        </is>
      </c>
      <c r="B89" s="20" t="inlineStr">
        <is>
          <t>• I clarify requirements with PMs when unclear</t>
        </is>
      </c>
      <c r="C89" s="20" t="inlineStr">
        <is>
          <t>• I challenge requirements that are unclear or risky</t>
        </is>
      </c>
      <c r="D89" s="20" t="inlineStr">
        <is>
          <t>• I proactively share quality concerns early</t>
        </is>
      </c>
      <c r="E89" s="20" t="inlineStr">
        <is>
          <t>• I am consulted on critical product decisions</t>
        </is>
      </c>
    </row>
    <row r="90">
      <c r="A90" s="20" t="inlineStr">
        <is>
          <t>• I respond to questions about my testing</t>
        </is>
      </c>
      <c r="B90" s="20" t="inlineStr">
        <is>
          <t>• I provide regular status updates</t>
        </is>
      </c>
      <c r="C90" s="20" t="inlineStr">
        <is>
          <t>• I build relationships with dev and PM counterparts</t>
        </is>
      </c>
      <c r="D90" s="20" t="inlineStr">
        <is>
          <t>• I facilitate quality discussions across functions</t>
        </is>
      </c>
      <c r="E90" s="20" t="inlineStr">
        <is>
          <t>• I represent quality at leadership discussions</t>
        </is>
      </c>
    </row>
    <row r="91">
      <c r="A91" s="20" t="inlineStr">
        <is>
          <t>• I am learning team communication norms</t>
        </is>
      </c>
      <c r="B91" s="20" t="inlineStr">
        <is>
          <t>• I participate in sprint ceremonies actively</t>
        </is>
      </c>
      <c r="C91" s="20" t="inlineStr">
        <is>
          <t>• I communicate trade-offs effectively</t>
        </is>
      </c>
      <c r="D91" s="20" t="inlineStr">
        <is>
          <t>• I help resolve conflicts between quality and deadlines</t>
        </is>
      </c>
      <c r="E91" s="20" t="inlineStr">
        <is>
          <t>• I build quality into product development culture</t>
        </is>
      </c>
    </row>
    <row r="92">
      <c r="A92" s="6" t="inlineStr"/>
      <c r="B92" s="6" t="inlineStr"/>
      <c r="C92" s="20" t="inlineStr">
        <is>
          <t>• I represent quality perspective in discussions</t>
        </is>
      </c>
      <c r="D92" s="20" t="inlineStr">
        <is>
          <t>• I coach others on effective communication</t>
        </is>
      </c>
      <c r="E92" s="20" t="inlineStr">
        <is>
          <t>• I am a trusted advisor to product leadership</t>
        </is>
      </c>
    </row>
    <row r="94">
      <c r="A94" s="14" t="inlineStr">
        <is>
          <t>Stakeholder Trust</t>
        </is>
      </c>
    </row>
    <row r="95">
      <c r="A95" s="15" t="inlineStr">
        <is>
          <t>1-NOVICE</t>
        </is>
      </c>
      <c r="B95" s="16" t="inlineStr">
        <is>
          <t>2-ADV BEGINNER</t>
        </is>
      </c>
      <c r="C95" s="17" t="inlineStr">
        <is>
          <t>3-COMPETENT</t>
        </is>
      </c>
      <c r="D95" s="18" t="inlineStr">
        <is>
          <t>4-PROFICIENT</t>
        </is>
      </c>
      <c r="E95" s="19" t="inlineStr">
        <is>
          <t>5-EXPERT</t>
        </is>
      </c>
    </row>
    <row r="96">
      <c r="A96" s="20" t="inlineStr">
        <is>
          <t>• I provide basic status updates when asked</t>
        </is>
      </c>
      <c r="B96" s="20" t="inlineStr">
        <is>
          <t>• I provide clear and honest status updates</t>
        </is>
      </c>
      <c r="C96" s="20" t="inlineStr">
        <is>
          <t>• I build confidence through consistent delivery</t>
        </is>
      </c>
      <c r="D96" s="20" t="inlineStr">
        <is>
          <t>• I am a trusted advisor to stakeholders</t>
        </is>
      </c>
      <c r="E96" s="20" t="inlineStr">
        <is>
          <t>• I am the go-to person for critical quality decisions</t>
        </is>
      </c>
    </row>
    <row r="97">
      <c r="A97" s="20" t="inlineStr">
        <is>
          <t>• I attend meetings I am invited to</t>
        </is>
      </c>
      <c r="B97" s="20" t="inlineStr">
        <is>
          <t>• I escalate blockers proactively</t>
        </is>
      </c>
      <c r="C97" s="20" t="inlineStr">
        <is>
          <t>• I provide context and recommendations, not just status</t>
        </is>
      </c>
      <c r="D97" s="20" t="inlineStr">
        <is>
          <t>• Stakeholders seek my opinion on quality matters</t>
        </is>
      </c>
      <c r="E97" s="20" t="inlineStr">
        <is>
          <t>• Leadership trusts my quality assessments implicitly</t>
        </is>
      </c>
    </row>
    <row r="98">
      <c r="A98" s="20" t="inlineStr">
        <is>
          <t>• I answer questions about my work</t>
        </is>
      </c>
      <c r="B98" s="20" t="inlineStr">
        <is>
          <t>• I am transparent about what I don't know</t>
        </is>
      </c>
      <c r="C98" s="20" t="inlineStr">
        <is>
          <t>• I am trusted for accurate quality assessments</t>
        </is>
      </c>
      <c r="D98" s="20" t="inlineStr">
        <is>
          <t>• I have credibility across multiple teams</t>
        </is>
      </c>
      <c r="E98" s="20" t="inlineStr">
        <is>
          <t>• I have credibility across the organization</t>
        </is>
      </c>
    </row>
    <row r="99">
      <c r="A99" s="20" t="inlineStr">
        <is>
          <t>• I am building credibility with the team</t>
        </is>
      </c>
      <c r="B99" s="20" t="inlineStr">
        <is>
          <t>• I meet my commitments consistently</t>
        </is>
      </c>
      <c r="C99" s="20" t="inlineStr">
        <is>
          <t>• I communicate bad news effectively</t>
        </is>
      </c>
      <c r="D99" s="20" t="inlineStr">
        <is>
          <t>• I can deliver difficult messages to senior stakeholders</t>
        </is>
      </c>
      <c r="E99" s="20" t="inlineStr">
        <is>
          <t>• I can influence decisions at executive level</t>
        </is>
      </c>
    </row>
    <row r="100">
      <c r="A100" s="20" t="inlineStr">
        <is>
          <t>• I follow through on my commitments</t>
        </is>
      </c>
      <c r="B100" s="20" t="inlineStr">
        <is>
          <t>• I communicate risks and concerns appropriately</t>
        </is>
      </c>
      <c r="C100" s="20" t="inlineStr">
        <is>
          <t>• I manage expectations proactively</t>
        </is>
      </c>
      <c r="D100" s="20" t="inlineStr">
        <is>
          <t>• I represent quality confidently in any forum</t>
        </is>
      </c>
      <c r="E100" s="20" t="inlineStr">
        <is>
          <t>• I represent quality externally (customers, partners)</t>
        </is>
      </c>
    </row>
    <row r="101">
      <c r="A101" s="6" t="inlineStr"/>
      <c r="B101" s="6" t="inlineStr"/>
      <c r="C101" s="20" t="inlineStr">
        <is>
          <t>• Stakeholders rely on my judgment for my areas</t>
        </is>
      </c>
      <c r="D101" s="20" t="inlineStr">
        <is>
          <t>• I build trust with new stakeholders quickly</t>
        </is>
      </c>
      <c r="E101" s="20" t="inlineStr">
        <is>
          <t>• I build organizational trust in quality function</t>
        </is>
      </c>
    </row>
    <row r="104">
      <c r="A104" s="13" t="inlineStr">
        <is>
          <t>🎯 PROCESS &amp; STRATEGY</t>
        </is>
      </c>
    </row>
    <row r="105">
      <c r="A105" s="14" t="inlineStr">
        <is>
          <t>QA Process Improvement</t>
        </is>
      </c>
    </row>
    <row r="106">
      <c r="A106" s="15" t="inlineStr">
        <is>
          <t>1-NOVICE</t>
        </is>
      </c>
      <c r="B106" s="16" t="inlineStr">
        <is>
          <t>2-ADV BEGINNER</t>
        </is>
      </c>
      <c r="C106" s="17" t="inlineStr">
        <is>
          <t>3-COMPETENT</t>
        </is>
      </c>
      <c r="D106" s="18" t="inlineStr">
        <is>
          <t>4-PROFICIENT</t>
        </is>
      </c>
      <c r="E106" s="19" t="inlineStr">
        <is>
          <t>5-EXPERT</t>
        </is>
      </c>
    </row>
    <row r="107">
      <c r="A107" s="20" t="inlineStr">
        <is>
          <t>• I follow the QA processes defined by the team</t>
        </is>
      </c>
      <c r="B107" s="20" t="inlineStr">
        <is>
          <t>• I suggest small improvements to processes</t>
        </is>
      </c>
      <c r="C107" s="20" t="inlineStr">
        <is>
          <t>• I propose and implement process improvements</t>
        </is>
      </c>
      <c r="D107" s="20" t="inlineStr">
        <is>
          <t>• I lead QA improvement initiatives</t>
        </is>
      </c>
      <c r="E107" s="20" t="inlineStr">
        <is>
          <t>• I design QA strategy for the organization</t>
        </is>
      </c>
    </row>
    <row r="108">
      <c r="A108" s="20" t="inlineStr">
        <is>
          <t>• I learn and adopt team practices</t>
        </is>
      </c>
      <c r="B108" s="20" t="inlineStr">
        <is>
          <t>• I identify inefficiencies in my daily work</t>
        </is>
      </c>
      <c r="C108" s="20" t="inlineStr">
        <is>
          <t>• I measure the impact of process changes</t>
        </is>
      </c>
      <c r="D108" s="20" t="inlineStr">
        <is>
          <t>• I design and implement QA frameworks</t>
        </is>
      </c>
      <c r="E108" s="20" t="inlineStr">
        <is>
          <t>• I establish QA centers of excellence</t>
        </is>
      </c>
    </row>
    <row r="109">
      <c r="A109" s="20" t="inlineStr">
        <is>
          <t>• I ask questions about why we do things</t>
        </is>
      </c>
      <c r="B109" s="20" t="inlineStr">
        <is>
          <t>• I share ideas in retrospectives</t>
        </is>
      </c>
      <c r="C109" s="20" t="inlineStr">
        <is>
          <t>• I identify bottlenecks and propose solutions</t>
        </is>
      </c>
      <c r="D109" s="20" t="inlineStr">
        <is>
          <t>• I measure and report on QA effectiveness</t>
        </is>
      </c>
      <c r="E109" s="20" t="inlineStr">
        <is>
          <t>• I drive organizational transformation</t>
        </is>
      </c>
    </row>
    <row r="110">
      <c r="A110" s="20" t="inlineStr">
        <is>
          <t>• I complete process-related training</t>
        </is>
      </c>
      <c r="B110" s="20" t="inlineStr">
        <is>
          <t>• I adopt new tools and practices readily</t>
        </is>
      </c>
      <c r="C110" s="20" t="inlineStr">
        <is>
          <t>• I introduce automation for manual processes</t>
        </is>
      </c>
      <c r="D110" s="20" t="inlineStr">
        <is>
          <t>• I benchmark practices against industry standards</t>
        </is>
      </c>
      <c r="E110" s="20" t="inlineStr">
        <is>
          <t>• I set the vision for quality engineering</t>
        </is>
      </c>
    </row>
    <row r="111">
      <c r="A111" s="20" t="inlineStr">
        <is>
          <t>• I am open to feedback on my practices</t>
        </is>
      </c>
      <c r="B111" s="20" t="inlineStr">
        <is>
          <t>• I help document team processes</t>
        </is>
      </c>
      <c r="C111" s="20" t="inlineStr">
        <is>
          <t>• I contribute to team standards and guidelines</t>
        </is>
      </c>
      <c r="D111" s="20" t="inlineStr">
        <is>
          <t>• I mentor others on process improvement</t>
        </is>
      </c>
      <c r="E111" s="20" t="inlineStr">
        <is>
          <t>• I influence industry practices</t>
        </is>
      </c>
    </row>
    <row r="112">
      <c r="A112" s="6" t="inlineStr"/>
      <c r="B112" s="6" t="inlineStr"/>
      <c r="C112" s="20" t="inlineStr">
        <is>
          <t>• I drive improvements in my area of responsibility</t>
        </is>
      </c>
      <c r="D112" s="20" t="inlineStr">
        <is>
          <t>• I influence practices beyond my immediate team</t>
        </is>
      </c>
      <c r="E112" s="20" t="inlineStr">
        <is>
          <t>• I am recognized as a thought leader</t>
        </is>
      </c>
    </row>
    <row r="114">
      <c r="A114" s="14" t="inlineStr">
        <is>
          <t>Standards &amp; Frameworks</t>
        </is>
      </c>
    </row>
    <row r="115">
      <c r="A115" s="15" t="inlineStr">
        <is>
          <t>1-NOVICE</t>
        </is>
      </c>
      <c r="B115" s="16" t="inlineStr">
        <is>
          <t>2-ADV BEGINNER</t>
        </is>
      </c>
      <c r="C115" s="17" t="inlineStr">
        <is>
          <t>3-COMPETENT</t>
        </is>
      </c>
      <c r="D115" s="18" t="inlineStr">
        <is>
          <t>4-PROFICIENT</t>
        </is>
      </c>
      <c r="E115" s="19" t="inlineStr">
        <is>
          <t>5-EXPERT</t>
        </is>
      </c>
    </row>
    <row r="116">
      <c r="A116" s="20" t="inlineStr">
        <is>
          <t>• I am learning about QA standards</t>
        </is>
      </c>
      <c r="B116" s="20" t="inlineStr">
        <is>
          <t>• I consistently follow team standards</t>
        </is>
      </c>
      <c r="C116" s="20" t="inlineStr">
        <is>
          <t>• I contribute to creating team standards</t>
        </is>
      </c>
      <c r="D116" s="20" t="inlineStr">
        <is>
          <t>• I own quality standards for my product area</t>
        </is>
      </c>
      <c r="E116" s="20" t="inlineStr">
        <is>
          <t>• I set quality vision and standards for the organization</t>
        </is>
      </c>
    </row>
    <row r="117">
      <c r="A117" s="20" t="inlineStr">
        <is>
          <t>• I follow standards and guidelines provided</t>
        </is>
      </c>
      <c r="B117" s="20" t="inlineStr">
        <is>
          <t>• I understand the purpose of our standards</t>
        </is>
      </c>
      <c r="C117" s="20" t="inlineStr">
        <is>
          <t>• I ensure standards are applied in my area</t>
        </is>
      </c>
      <c r="D117" s="20" t="inlineStr">
        <is>
          <t>• I establish frameworks adopted by multiple teams</t>
        </is>
      </c>
      <c r="E117" s="20" t="inlineStr">
        <is>
          <t>• I design frameworks used organization-wide</t>
        </is>
      </c>
    </row>
    <row r="118">
      <c r="A118" s="20" t="inlineStr">
        <is>
          <t>• I ask for clarification on standards</t>
        </is>
      </c>
      <c r="B118" s="20" t="inlineStr">
        <is>
          <t>• I identify when standards are not being followed</t>
        </is>
      </c>
      <c r="C118" s="20" t="inlineStr">
        <is>
          <t>• I identify gaps in existing standards</t>
        </is>
      </c>
      <c r="D118" s="20" t="inlineStr">
        <is>
          <t>• I evaluate industry standards for applicability</t>
        </is>
      </c>
      <c r="E118" s="20" t="inlineStr">
        <is>
          <t>• I represent the organization in industry forums</t>
        </is>
      </c>
    </row>
    <row r="119">
      <c r="A119" s="20" t="inlineStr">
        <is>
          <t>• I am getting familiar with testing frameworks</t>
        </is>
      </c>
      <c r="B119" s="20" t="inlineStr">
        <is>
          <t>• I use testing frameworks effectively</t>
        </is>
      </c>
      <c r="C119" s="20" t="inlineStr">
        <is>
          <t>• I evaluate and recommend tools/frameworks</t>
        </is>
      </c>
      <c r="D119" s="20" t="inlineStr">
        <is>
          <t>• I lead standards adoption across teams</t>
        </is>
      </c>
      <c r="E119" s="20" t="inlineStr">
        <is>
          <t>• I influence external standards and practices</t>
        </is>
      </c>
    </row>
    <row r="120">
      <c r="A120" s="20" t="inlineStr">
        <is>
          <t>• I complete training on team tools</t>
        </is>
      </c>
      <c r="B120" s="20" t="inlineStr">
        <is>
          <t>• I can explain our standards to new joiners</t>
        </is>
      </c>
      <c r="C120" s="20" t="inlineStr">
        <is>
          <t>• I document best practices for the team</t>
        </is>
      </c>
      <c r="D120" s="20" t="inlineStr">
        <is>
          <t>• I balance standards with pragmatic needs</t>
        </is>
      </c>
      <c r="E120" s="20" t="inlineStr">
        <is>
          <t>• I establish quality governance models</t>
        </is>
      </c>
    </row>
    <row r="121">
      <c r="A121" s="6" t="inlineStr"/>
      <c r="B121" s="6" t="inlineStr"/>
      <c r="C121" s="20" t="inlineStr">
        <is>
          <t>• I help onboard others to our standards</t>
        </is>
      </c>
      <c r="D121" s="20" t="inlineStr">
        <is>
          <t>• I mentor others on applying standards</t>
        </is>
      </c>
      <c r="E121" s="20" t="inlineStr">
        <is>
          <t>• I am the authority on quality standards</t>
        </is>
      </c>
    </row>
    <row r="124">
      <c r="A124" s="13" t="inlineStr">
        <is>
          <t>🎯 CULTURE &amp; VALUES</t>
        </is>
      </c>
    </row>
    <row r="125">
      <c r="A125" s="14" t="inlineStr">
        <is>
          <t>Professionalism</t>
        </is>
      </c>
    </row>
    <row r="126">
      <c r="A126" s="15" t="inlineStr">
        <is>
          <t>1-NOVICE</t>
        </is>
      </c>
      <c r="B126" s="16" t="inlineStr">
        <is>
          <t>2-ADV BEGINNER</t>
        </is>
      </c>
      <c r="C126" s="17" t="inlineStr">
        <is>
          <t>3-COMPETENT</t>
        </is>
      </c>
      <c r="D126" s="18" t="inlineStr">
        <is>
          <t>4-PROFICIENT</t>
        </is>
      </c>
      <c r="E126" s="19" t="inlineStr">
        <is>
          <t>5-EXPERT</t>
        </is>
      </c>
    </row>
    <row r="127">
      <c r="A127" s="20" t="inlineStr">
        <is>
          <t>• I am learning workplace norms and expectations</t>
        </is>
      </c>
      <c r="B127" s="20" t="inlineStr">
        <is>
          <t>• I meet expectations consistently</t>
        </is>
      </c>
      <c r="C127" s="20" t="inlineStr">
        <is>
          <t>• I exceed expectations regularly</t>
        </is>
      </c>
      <c r="D127" s="20" t="inlineStr">
        <is>
          <t>• I am a role model for professionalism</t>
        </is>
      </c>
      <c r="E127" s="20" t="inlineStr">
        <is>
          <t>• I define the standard for professional excellence</t>
        </is>
      </c>
    </row>
    <row r="128">
      <c r="A128" s="20" t="inlineStr">
        <is>
          <t>• I arrive on time and meet basic commitments</t>
        </is>
      </c>
      <c r="B128" s="20" t="inlineStr">
        <is>
          <t>• I communicate professionally</t>
        </is>
      </c>
      <c r="C128" s="20" t="inlineStr">
        <is>
          <t>• I am reliable and dependable</t>
        </is>
      </c>
      <c r="D128" s="20" t="inlineStr">
        <is>
          <t>• I set high standards for others to follow</t>
        </is>
      </c>
      <c r="E128" s="20" t="inlineStr">
        <is>
          <t>• I am an ambassador for the organization</t>
        </is>
      </c>
    </row>
    <row r="129">
      <c r="A129" s="20" t="inlineStr">
        <is>
          <t>• I am respectful to colleagues</t>
        </is>
      </c>
      <c r="B129" s="20" t="inlineStr">
        <is>
          <t>• I handle feedback constructively</t>
        </is>
      </c>
      <c r="C129" s="20" t="inlineStr">
        <is>
          <t>• I maintain high standards for my work</t>
        </is>
      </c>
      <c r="D129" s="20" t="inlineStr">
        <is>
          <t>• I maintain professionalism in challenging situations</t>
        </is>
      </c>
      <c r="E129" s="20" t="inlineStr">
        <is>
          <t>• I am recognized externally for professionalism</t>
        </is>
      </c>
    </row>
    <row r="130">
      <c r="A130" s="20" t="inlineStr">
        <is>
          <t>• I am open to feedback</t>
        </is>
      </c>
      <c r="B130" s="20" t="inlineStr">
        <is>
          <t>• I maintain composure under pressure</t>
        </is>
      </c>
      <c r="C130" s="20" t="inlineStr">
        <is>
          <t>• I handle difficult situations professionally</t>
        </is>
      </c>
      <c r="D130" s="20" t="inlineStr">
        <is>
          <t>• I represent the organization positively</t>
        </is>
      </c>
      <c r="E130" s="20" t="inlineStr">
        <is>
          <t>• I shape organizational culture</t>
        </is>
      </c>
    </row>
    <row r="131">
      <c r="A131" s="20" t="inlineStr">
        <is>
          <t>• I am building my professional reputation</t>
        </is>
      </c>
      <c r="B131" s="20" t="inlineStr">
        <is>
          <t>• I represent the team positively</t>
        </is>
      </c>
      <c r="C131" s="20" t="inlineStr">
        <is>
          <t>• I am a positive team member</t>
        </is>
      </c>
      <c r="D131" s="20" t="inlineStr">
        <is>
          <t>• I coach others on professional behavior</t>
        </is>
      </c>
      <c r="E131" s="20" t="inlineStr">
        <is>
          <t>• I am trusted at the highest levels</t>
        </is>
      </c>
    </row>
    <row r="132">
      <c r="A132" s="6" t="inlineStr"/>
      <c r="B132" s="6" t="inlineStr"/>
      <c r="C132" s="20" t="inlineStr">
        <is>
          <t>• I take pride in quality of my deliverables</t>
        </is>
      </c>
      <c r="D132" s="20" t="inlineStr">
        <is>
          <t>• I am trusted with sensitive matters</t>
        </is>
      </c>
      <c r="E132" s="20" t="inlineStr">
        <is>
          <t>• I inspire others through my example</t>
        </is>
      </c>
    </row>
    <row r="134">
      <c r="A134" s="14" t="inlineStr">
        <is>
          <t>Reliability &amp; Dependability</t>
        </is>
      </c>
    </row>
    <row r="135">
      <c r="A135" s="15" t="inlineStr">
        <is>
          <t>1-NOVICE</t>
        </is>
      </c>
      <c r="B135" s="16" t="inlineStr">
        <is>
          <t>2-ADV BEGINNER</t>
        </is>
      </c>
      <c r="C135" s="17" t="inlineStr">
        <is>
          <t>3-COMPETENT</t>
        </is>
      </c>
      <c r="D135" s="18" t="inlineStr">
        <is>
          <t>4-PROFICIENT</t>
        </is>
      </c>
      <c r="E135" s="19" t="inlineStr">
        <is>
          <t>5-EXPERT</t>
        </is>
      </c>
    </row>
    <row r="136">
      <c r="A136" s="20" t="inlineStr">
        <is>
          <t>• I am learning to manage my commitments</t>
        </is>
      </c>
      <c r="B136" s="20" t="inlineStr">
        <is>
          <t>• I meet my commitments most of the time</t>
        </is>
      </c>
      <c r="C136" s="20" t="inlineStr">
        <is>
          <t>• I consistently deliver on my commitments</t>
        </is>
      </c>
      <c r="D136" s="20" t="inlineStr">
        <is>
          <t>• I am trusted with critical and ambiguous work</t>
        </is>
      </c>
      <c r="E136" s="20" t="inlineStr">
        <is>
          <t>• I am trusted with organization-level commitments</t>
        </is>
      </c>
    </row>
    <row r="137">
      <c r="A137" s="20" t="inlineStr">
        <is>
          <t>• I sometimes need reminders on deadlines</t>
        </is>
      </c>
      <c r="B137" s="20" t="inlineStr">
        <is>
          <t>• I communicate proactively if I might miss a deadline</t>
        </is>
      </c>
      <c r="C137" s="20" t="inlineStr">
        <is>
          <t>• I am reliable and predictable</t>
        </is>
      </c>
      <c r="D137" s="20" t="inlineStr">
        <is>
          <t>• I deliver reliably even under pressure</t>
        </is>
      </c>
      <c r="E137" s="20" t="inlineStr">
        <is>
          <t>• I am the ultimate backstop for critical delivery</t>
        </is>
      </c>
    </row>
    <row r="138">
      <c r="A138" s="20" t="inlineStr">
        <is>
          <t>• I ask for help when I might miss a deadline</t>
        </is>
      </c>
      <c r="B138" s="20" t="inlineStr">
        <is>
          <t>• I am becoming predictable in my delivery</t>
        </is>
      </c>
      <c r="C138" s="20" t="inlineStr">
        <is>
          <t>• I manage my workload effectively</t>
        </is>
      </c>
      <c r="D138" s="20" t="inlineStr">
        <is>
          <t>• I can be counted on when stakes are high</t>
        </is>
      </c>
      <c r="E138" s="20" t="inlineStr">
        <is>
          <t>• I enable reliability at organizational scale</t>
        </is>
      </c>
    </row>
    <row r="139">
      <c r="A139" s="20" t="inlineStr">
        <is>
          <t>• I am building trust with the team</t>
        </is>
      </c>
      <c r="B139" s="20" t="inlineStr">
        <is>
          <t>• I can be counted on for routine tasks</t>
        </is>
      </c>
      <c r="C139" s="20" t="inlineStr">
        <is>
          <t>• I can be counted on in important situations</t>
        </is>
      </c>
      <c r="D139" s="20" t="inlineStr">
        <is>
          <t>• I help others become more reliable</t>
        </is>
      </c>
      <c r="E139" s="20" t="inlineStr">
        <is>
          <t>• I build systems that improve reliability</t>
        </is>
      </c>
    </row>
    <row r="140">
      <c r="A140" s="20" t="inlineStr">
        <is>
          <t>• I am learning to estimate my work</t>
        </is>
      </c>
      <c r="B140" s="20" t="inlineStr">
        <is>
          <t>• I am improving my estimation skills</t>
        </is>
      </c>
      <c r="C140" s="20" t="inlineStr">
        <is>
          <t>• I accurately estimate my work</t>
        </is>
      </c>
      <c r="D140" s="20" t="inlineStr">
        <is>
          <t>• I take on challenging commitments and deliver</t>
        </is>
      </c>
      <c r="E140" s="20" t="inlineStr">
        <is>
          <t>• Leadership depends on my delivery</t>
        </is>
      </c>
    </row>
    <row r="141">
      <c r="A141" s="6" t="inlineStr"/>
      <c r="B141" s="6" t="inlineStr"/>
      <c r="C141" s="20" t="inlineStr">
        <is>
          <t>• I follow through without being reminded</t>
        </is>
      </c>
      <c r="D141" s="20" t="inlineStr">
        <is>
          <t>• I am the go-to person for important tasks</t>
        </is>
      </c>
      <c r="E141" s="20" t="inlineStr">
        <is>
          <t>• I am the standard for reliability</t>
        </is>
      </c>
    </row>
    <row r="143">
      <c r="A143" s="14" t="inlineStr">
        <is>
          <t>Humility &amp; Learning</t>
        </is>
      </c>
    </row>
    <row r="144">
      <c r="A144" s="15" t="inlineStr">
        <is>
          <t>1-NOVICE</t>
        </is>
      </c>
      <c r="B144" s="16" t="inlineStr">
        <is>
          <t>2-ADV BEGINNER</t>
        </is>
      </c>
      <c r="C144" s="17" t="inlineStr">
        <is>
          <t>3-COMPETENT</t>
        </is>
      </c>
      <c r="D144" s="18" t="inlineStr">
        <is>
          <t>4-PROFICIENT</t>
        </is>
      </c>
      <c r="E144" s="19" t="inlineStr">
        <is>
          <t>5-EXPERT</t>
        </is>
      </c>
    </row>
    <row r="145">
      <c r="A145" s="20" t="inlineStr">
        <is>
          <t>• I am learning and absorbing information</t>
        </is>
      </c>
      <c r="B145" s="20" t="inlineStr">
        <is>
          <t>• I accept feedback and try to improve</t>
        </is>
      </c>
      <c r="C145" s="20" t="inlineStr">
        <is>
          <t>• I actively seek feedback</t>
        </is>
      </c>
      <c r="D145" s="20" t="inlineStr">
        <is>
          <t>• I model humility for others</t>
        </is>
      </c>
      <c r="E145" s="20" t="inlineStr">
        <is>
          <t>• I am known for humility despite expertise</t>
        </is>
      </c>
    </row>
    <row r="146">
      <c r="A146" s="20" t="inlineStr">
        <is>
          <t>• I acknowledge when I don't know something</t>
        </is>
      </c>
      <c r="B146" s="20" t="inlineStr">
        <is>
          <t>• I acknowledge my mistakes</t>
        </is>
      </c>
      <c r="C146" s="20" t="inlineStr">
        <is>
          <t>• I admit gaps in my knowledge openly</t>
        </is>
      </c>
      <c r="D146" s="20" t="inlineStr">
        <is>
          <t>• I learn from junior team members</t>
        </is>
      </c>
      <c r="E146" s="20" t="inlineStr">
        <is>
          <t>• I continuously learn and grow</t>
        </is>
      </c>
    </row>
    <row r="147">
      <c r="A147" s="20" t="inlineStr">
        <is>
          <t>• I am sometimes defensive about mistakes</t>
        </is>
      </c>
      <c r="B147" s="20" t="inlineStr">
        <is>
          <t>• I learn from my errors</t>
        </is>
      </c>
      <c r="C147" s="20" t="inlineStr">
        <is>
          <t>• I learn from both successes and failures</t>
        </is>
      </c>
      <c r="D147" s="20" t="inlineStr">
        <is>
          <t>• I celebrate team success over personal achievement</t>
        </is>
      </c>
      <c r="E147" s="20" t="inlineStr">
        <is>
          <t>• I inspire a culture of learning</t>
        </is>
      </c>
    </row>
    <row r="148">
      <c r="A148" s="20" t="inlineStr">
        <is>
          <t>• I am open to learning from others</t>
        </is>
      </c>
      <c r="B148" s="20" t="inlineStr">
        <is>
          <t>• I appreciate help from colleagues</t>
        </is>
      </c>
      <c r="C148" s="20" t="inlineStr">
        <is>
          <t>• I credit others for their contributions</t>
        </is>
      </c>
      <c r="D148" s="20" t="inlineStr">
        <is>
          <t>• I am comfortable saying 'I don't know'</t>
        </is>
      </c>
      <c r="E148" s="20" t="inlineStr">
        <is>
          <t>• I acknowledge limitations of my knowledge</t>
        </is>
      </c>
    </row>
    <row r="149">
      <c r="A149" s="20" t="inlineStr">
        <is>
          <t>• I ask questions to understand better</t>
        </is>
      </c>
      <c r="B149" s="20" t="inlineStr">
        <is>
          <t>• I recognize there is much to learn</t>
        </is>
      </c>
      <c r="C149" s="20" t="inlineStr">
        <is>
          <t>• I am curious and continuously learning</t>
        </is>
      </c>
      <c r="D149" s="20" t="inlineStr">
        <is>
          <t>• I share credit generously</t>
        </is>
      </c>
      <c r="E149" s="20" t="inlineStr">
        <is>
          <t>• I elevate others over myself</t>
        </is>
      </c>
    </row>
    <row r="150">
      <c r="A150" s="6" t="inlineStr"/>
      <c r="B150" s="6" t="inlineStr"/>
      <c r="C150" s="20" t="inlineStr">
        <is>
          <t>• I help others without seeking credit</t>
        </is>
      </c>
      <c r="D150" s="20" t="inlineStr">
        <is>
          <t>• I create safe spaces for others to learn</t>
        </is>
      </c>
      <c r="E150" s="20" t="inlineStr">
        <is>
          <t>• I am a servant leader</t>
        </is>
      </c>
    </row>
  </sheetData>
  <mergeCells count="22">
    <mergeCell ref="A114:E114"/>
    <mergeCell ref="A24:E24"/>
    <mergeCell ref="A15:E15"/>
    <mergeCell ref="A64:E64"/>
    <mergeCell ref="A1:E1"/>
    <mergeCell ref="A45:E45"/>
    <mergeCell ref="A94:E94"/>
    <mergeCell ref="A36:E36"/>
    <mergeCell ref="A124:E124"/>
    <mergeCell ref="A65:E65"/>
    <mergeCell ref="A54:E54"/>
    <mergeCell ref="A84:E84"/>
    <mergeCell ref="A74:E74"/>
    <mergeCell ref="A105:E105"/>
    <mergeCell ref="A104:E104"/>
    <mergeCell ref="A85:E85"/>
    <mergeCell ref="A5:E5"/>
    <mergeCell ref="A35:E35"/>
    <mergeCell ref="A4:E4"/>
    <mergeCell ref="A125:E125"/>
    <mergeCell ref="A134:E134"/>
    <mergeCell ref="A143:E1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0" customWidth="1" min="3" max="3"/>
    <col width="25" customWidth="1" min="4" max="4"/>
    <col width="45" customWidth="1" min="5" max="5"/>
    <col width="20" customWidth="1" min="6" max="6"/>
  </cols>
  <sheetData>
    <row r="1">
      <c r="A1" s="1" t="inlineStr">
        <is>
          <t>QA CAREER LADDER</t>
        </is>
      </c>
    </row>
    <row r="2">
      <c r="A2" s="12" t="inlineStr">
        <is>
          <t>Clear expectations for each level in the QA career path</t>
        </is>
      </c>
    </row>
    <row r="4">
      <c r="A4" s="21" t="inlineStr">
        <is>
          <t>📊 JUNIOR QA</t>
        </is>
      </c>
    </row>
    <row r="5">
      <c r="A5" s="22" t="inlineStr">
        <is>
          <t>Experience</t>
        </is>
      </c>
      <c r="B5" t="inlineStr">
        <is>
          <t>0-1 years</t>
        </is>
      </c>
      <c r="C5" s="22" t="inlineStr">
        <is>
          <t>Dreyfus Level</t>
        </is>
      </c>
      <c r="D5" t="inlineStr">
        <is>
          <t>1-2 (Novice → Adv Beginner)</t>
        </is>
      </c>
      <c r="E5" s="22" t="inlineStr">
        <is>
          <t>Focus Area</t>
        </is>
      </c>
      <c r="F5" t="inlineStr">
        <is>
          <t>Learning &amp; Execution</t>
        </is>
      </c>
    </row>
    <row r="7">
      <c r="A7" s="23" t="inlineStr">
        <is>
          <t>Key Responsibilities</t>
        </is>
      </c>
      <c r="C7" s="23" t="inlineStr">
        <is>
          <t>Skills to Develop</t>
        </is>
      </c>
      <c r="E7" s="23" t="inlineStr">
        <is>
          <t>Promotion Criteria</t>
        </is>
      </c>
    </row>
    <row r="8">
      <c r="A8" t="inlineStr">
        <is>
          <t>• Execute test cases accurately and completely</t>
        </is>
      </c>
      <c r="C8" t="inlineStr">
        <is>
          <t>• Test case design fundamentals</t>
        </is>
      </c>
      <c r="E8" t="inlineStr">
        <is>
          <t>• Consistently delivers quality work with minimal supervision</t>
        </is>
      </c>
    </row>
    <row r="9">
      <c r="A9" t="inlineStr">
        <is>
          <t>• Write clear bug reports with reproducible steps</t>
        </is>
      </c>
      <c r="C9" t="inlineStr">
        <is>
          <t>• Bug reporting best practices</t>
        </is>
      </c>
      <c r="E9" t="inlineStr">
        <is>
          <t>• Demonstrates understanding of testing fundamentals</t>
        </is>
      </c>
    </row>
    <row r="10">
      <c r="A10" t="inlineStr">
        <is>
          <t>• Learn the product domain and testing tools</t>
        </is>
      </c>
      <c r="C10" t="inlineStr">
        <is>
          <t>• Understanding of SDLC and Agile</t>
        </is>
      </c>
      <c r="E10" t="inlineStr">
        <is>
          <t>• Shows initiative in learning and improvement</t>
        </is>
      </c>
    </row>
    <row r="11">
      <c r="A11" t="inlineStr">
        <is>
          <t>• Ask questions and seek guidance proactively</t>
        </is>
      </c>
      <c r="C11" t="inlineStr">
        <is>
          <t>• Basic automation concepts</t>
        </is>
      </c>
      <c r="E11" t="inlineStr">
        <is>
          <t>• Receives positive feedback from team members</t>
        </is>
      </c>
    </row>
    <row r="12">
      <c r="A12" t="inlineStr">
        <is>
          <t>• Follow team processes and standards</t>
        </is>
      </c>
      <c r="C12" t="inlineStr">
        <is>
          <t>• Communication and documentation</t>
        </is>
      </c>
      <c r="E12" t="inlineStr">
        <is>
          <t>• Can onboard new juniors on basic tasks</t>
        </is>
      </c>
    </row>
    <row r="13">
      <c r="A13" t="inlineStr">
        <is>
          <t>• Complete assigned testing tasks on time</t>
        </is>
      </c>
    </row>
    <row r="16">
      <c r="A16" s="21" t="inlineStr">
        <is>
          <t>📊 MID QA</t>
        </is>
      </c>
    </row>
    <row r="17">
      <c r="A17" s="22" t="inlineStr">
        <is>
          <t>Experience</t>
        </is>
      </c>
      <c r="B17" t="inlineStr">
        <is>
          <t>1-3 years</t>
        </is>
      </c>
      <c r="C17" s="22" t="inlineStr">
        <is>
          <t>Dreyfus Level</t>
        </is>
      </c>
      <c r="D17" t="inlineStr">
        <is>
          <t>2-3 (Adv Beginner → Competent)</t>
        </is>
      </c>
      <c r="E17" s="22" t="inlineStr">
        <is>
          <t>Focus Area</t>
        </is>
      </c>
      <c r="F17" t="inlineStr">
        <is>
          <t>Independence &amp; Ownership</t>
        </is>
      </c>
    </row>
    <row r="19">
      <c r="A19" s="23" t="inlineStr">
        <is>
          <t>Key Responsibilities</t>
        </is>
      </c>
      <c r="C19" s="23" t="inlineStr">
        <is>
          <t>Skills to Develop</t>
        </is>
      </c>
      <c r="E19" s="23" t="inlineStr">
        <is>
          <t>Promotion Criteria</t>
        </is>
      </c>
    </row>
    <row r="20">
      <c r="A20" t="inlineStr">
        <is>
          <t>• Own testing for assigned features end-to-end</t>
        </is>
      </c>
      <c r="C20" t="inlineStr">
        <is>
          <t>• Risk-based testing approach</t>
        </is>
      </c>
      <c r="E20" t="inlineStr">
        <is>
          <t>• Owns feature quality with minimal oversight</t>
        </is>
      </c>
    </row>
    <row r="21">
      <c r="A21" t="inlineStr">
        <is>
          <t>• Write comprehensive test cases independently</t>
        </is>
      </c>
      <c r="C21" t="inlineStr">
        <is>
          <t>• Test automation skills</t>
        </is>
      </c>
      <c r="E21" t="inlineStr">
        <is>
          <t>• Proactively identifies and mitigates risks</t>
        </is>
      </c>
    </row>
    <row r="22">
      <c r="A22" t="inlineStr">
        <is>
          <t>• Identify risks and gaps in requirements</t>
        </is>
      </c>
      <c r="C22" t="inlineStr">
        <is>
          <t>• API testing proficiency</t>
        </is>
      </c>
      <c r="E22" t="inlineStr">
        <is>
          <t>• Contributes meaningfully to automation</t>
        </is>
      </c>
    </row>
    <row r="23">
      <c r="A23" t="inlineStr">
        <is>
          <t>• Contribute to test automation efforts</t>
        </is>
      </c>
      <c r="C23" t="inlineStr">
        <is>
          <t>• Root cause analysis</t>
        </is>
      </c>
      <c r="E23" t="inlineStr">
        <is>
          <t>• Trusted by developers and PMs as quality partner</t>
        </is>
      </c>
    </row>
    <row r="24">
      <c r="A24" t="inlineStr">
        <is>
          <t>• Collaborate effectively with developers and PMs</t>
        </is>
      </c>
      <c r="C24" t="inlineStr">
        <is>
          <t>• Stakeholder communication</t>
        </is>
      </c>
      <c r="E24" t="inlineStr">
        <is>
          <t>• Successfully mentors junior team members</t>
        </is>
      </c>
    </row>
    <row r="25">
      <c r="A25" t="inlineStr">
        <is>
          <t>• Participate in sprint planning and estimation</t>
        </is>
      </c>
      <c r="E25" t="inlineStr">
        <is>
          <t>• Drives improvements in their area</t>
        </is>
      </c>
    </row>
    <row r="26">
      <c r="A26" t="inlineStr">
        <is>
          <t>• Mentor junior QA team members</t>
        </is>
      </c>
    </row>
    <row r="29">
      <c r="A29" s="21" t="inlineStr">
        <is>
          <t>📊 SENIOR QA</t>
        </is>
      </c>
    </row>
    <row r="30">
      <c r="A30" s="22" t="inlineStr">
        <is>
          <t>Experience</t>
        </is>
      </c>
      <c r="B30" t="inlineStr">
        <is>
          <t>3-5 years</t>
        </is>
      </c>
      <c r="C30" s="22" t="inlineStr">
        <is>
          <t>Dreyfus Level</t>
        </is>
      </c>
      <c r="D30" t="inlineStr">
        <is>
          <t>3-4 (Competent → Proficient)</t>
        </is>
      </c>
      <c r="E30" s="22" t="inlineStr">
        <is>
          <t>Focus Area</t>
        </is>
      </c>
      <c r="F30" t="inlineStr">
        <is>
          <t>Leadership &amp; Strategy</t>
        </is>
      </c>
    </row>
    <row r="32">
      <c r="A32" s="23" t="inlineStr">
        <is>
          <t>Key Responsibilities</t>
        </is>
      </c>
      <c r="C32" s="23" t="inlineStr">
        <is>
          <t>Skills to Develop</t>
        </is>
      </c>
      <c r="E32" s="23" t="inlineStr">
        <is>
          <t>Promotion Criteria</t>
        </is>
      </c>
    </row>
    <row r="33">
      <c r="A33" t="inlineStr">
        <is>
          <t>• Own quality for product area across releases</t>
        </is>
      </c>
      <c r="C33" t="inlineStr">
        <is>
          <t>• Test strategy and planning</t>
        </is>
      </c>
      <c r="E33" t="inlineStr">
        <is>
          <t>• Recognized as quality expert in their domain</t>
        </is>
      </c>
    </row>
    <row r="34">
      <c r="A34" t="inlineStr">
        <is>
          <t>• Design test strategies for complex features</t>
        </is>
      </c>
      <c r="C34" t="inlineStr">
        <is>
          <t>• Automation framework design</t>
        </is>
      </c>
      <c r="E34" t="inlineStr">
        <is>
          <t>• Successfully leads complex testing initiatives</t>
        </is>
      </c>
    </row>
    <row r="35">
      <c r="A35" t="inlineStr">
        <is>
          <t>• Lead test automation architecture decisions</t>
        </is>
      </c>
      <c r="C35" t="inlineStr">
        <is>
          <t>• Performance and security testing</t>
        </is>
      </c>
      <c r="E35" t="inlineStr">
        <is>
          <t>• Mentors others who get promoted</t>
        </is>
      </c>
    </row>
    <row r="36">
      <c r="A36" t="inlineStr">
        <is>
          <t>• Drive quality improvements and best practices</t>
        </is>
      </c>
      <c r="C36" t="inlineStr">
        <is>
          <t>• Leadership and mentoring</t>
        </is>
      </c>
      <c r="E36" t="inlineStr">
        <is>
          <t>• Influences quality culture beyond their team</t>
        </is>
      </c>
    </row>
    <row r="37">
      <c r="A37" t="inlineStr">
        <is>
          <t>• Mentor mid and junior QA team members</t>
        </is>
      </c>
      <c r="C37" t="inlineStr">
        <is>
          <t>• Cross-team collaboration</t>
        </is>
      </c>
      <c r="E37" t="inlineStr">
        <is>
          <t>• Trusted for critical release decisions</t>
        </is>
      </c>
    </row>
    <row r="38">
      <c r="A38" t="inlineStr">
        <is>
          <t>• Represent quality in cross-functional discussions</t>
        </is>
      </c>
      <c r="E38" t="inlineStr">
        <is>
          <t>• Demonstrates leadership potential</t>
        </is>
      </c>
    </row>
    <row r="39">
      <c r="A39" t="inlineStr">
        <is>
          <t>• Influence release decisions with risk assessments</t>
        </is>
      </c>
    </row>
    <row r="40">
      <c r="A40" t="inlineStr">
        <is>
          <t>• Handle production issues and critical bugs</t>
        </is>
      </c>
    </row>
    <row r="43">
      <c r="A43" s="21" t="inlineStr">
        <is>
          <t>📊 QA LEAD</t>
        </is>
      </c>
    </row>
    <row r="44">
      <c r="A44" s="22" t="inlineStr">
        <is>
          <t>Experience</t>
        </is>
      </c>
      <c r="B44" t="inlineStr">
        <is>
          <t>5+ years</t>
        </is>
      </c>
      <c r="C44" s="22" t="inlineStr">
        <is>
          <t>Dreyfus Level</t>
        </is>
      </c>
      <c r="D44" t="inlineStr">
        <is>
          <t>4-5 (Proficient → Expert)</t>
        </is>
      </c>
      <c r="E44" s="22" t="inlineStr">
        <is>
          <t>Focus Area</t>
        </is>
      </c>
      <c r="F44" t="inlineStr">
        <is>
          <t>Team &amp; Organization Impact</t>
        </is>
      </c>
    </row>
    <row r="46">
      <c r="A46" s="23" t="inlineStr">
        <is>
          <t>Key Responsibilities</t>
        </is>
      </c>
      <c r="C46" s="23" t="inlineStr">
        <is>
          <t>Skills to Develop</t>
        </is>
      </c>
      <c r="E46" s="23" t="inlineStr">
        <is>
          <t>Promotion Criteria</t>
        </is>
      </c>
    </row>
    <row r="47">
      <c r="A47" t="inlineStr">
        <is>
          <t>• Lead and develop the QA team</t>
        </is>
      </c>
      <c r="C47" t="inlineStr">
        <is>
          <t>• People management and coaching</t>
        </is>
      </c>
      <c r="E47" t="inlineStr">
        <is>
          <t>• Builds and develops high-performing teams</t>
        </is>
      </c>
    </row>
    <row r="48">
      <c r="A48" t="inlineStr">
        <is>
          <t>• Define QA strategy and roadmap</t>
        </is>
      </c>
      <c r="C48" t="inlineStr">
        <is>
          <t>• Strategic thinking and planning</t>
        </is>
      </c>
      <c r="E48" t="inlineStr">
        <is>
          <t>• Drives organizational quality improvements</t>
        </is>
      </c>
    </row>
    <row r="49">
      <c r="A49" t="inlineStr">
        <is>
          <t>• Establish quality standards and processes</t>
        </is>
      </c>
      <c r="C49" t="inlineStr">
        <is>
          <t>• Stakeholder management</t>
        </is>
      </c>
      <c r="E49" t="inlineStr">
        <is>
          <t>• Trusted advisor to senior leadership</t>
        </is>
      </c>
    </row>
    <row r="50">
      <c r="A50" t="inlineStr">
        <is>
          <t>• Drive automation and tooling decisions</t>
        </is>
      </c>
      <c r="C50" t="inlineStr">
        <is>
          <t>• Organizational influence</t>
        </is>
      </c>
      <c r="E50" t="inlineStr">
        <is>
          <t>• Successfully delivers on quality strategy</t>
        </is>
      </c>
    </row>
    <row r="51">
      <c r="A51" t="inlineStr">
        <is>
          <t>• Represent quality at leadership level</t>
        </is>
      </c>
      <c r="C51" t="inlineStr">
        <is>
          <t>• Quality metrics and reporting</t>
        </is>
      </c>
      <c r="E51" t="inlineStr">
        <is>
          <t>• Recognized as quality thought leader</t>
        </is>
      </c>
    </row>
    <row r="52">
      <c r="A52" t="inlineStr">
        <is>
          <t>• Manage stakeholder relationships</t>
        </is>
      </c>
    </row>
    <row r="53">
      <c r="A53" t="inlineStr">
        <is>
          <t>• Coach and develop team members' careers</t>
        </is>
      </c>
    </row>
    <row r="54">
      <c r="A54" t="inlineStr">
        <is>
          <t>• Handle escalations and critical issues</t>
        </is>
      </c>
    </row>
    <row r="55">
      <c r="A55" t="inlineStr">
        <is>
          <t>• Budget and resource planning</t>
        </is>
      </c>
    </row>
  </sheetData>
  <mergeCells count="5">
    <mergeCell ref="A16:F16"/>
    <mergeCell ref="A1:F1"/>
    <mergeCell ref="A4:F4"/>
    <mergeCell ref="A29:F29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15" customWidth="1" min="4" max="4"/>
    <col width="20" customWidth="1" min="5" max="5"/>
  </cols>
  <sheetData>
    <row r="1">
      <c r="A1" s="1" t="inlineStr">
        <is>
          <t>QA ONBOARDING CHECKLIST</t>
        </is>
      </c>
    </row>
    <row r="2">
      <c r="A2" s="12" t="inlineStr">
        <is>
          <t>30-60-90 Day Plan for New QA Team Members</t>
        </is>
      </c>
    </row>
    <row r="4">
      <c r="A4" s="21" t="inlineStr">
        <is>
          <t>📅 FIRST 30 DAYS - Foundation</t>
        </is>
      </c>
    </row>
    <row r="5">
      <c r="A5" s="12" t="inlineStr">
        <is>
          <t>Goal: Understand the basics, meet the team, complete initial training</t>
        </is>
      </c>
    </row>
    <row r="7">
      <c r="A7" s="23" t="inlineStr">
        <is>
          <t>Team &amp; Culture</t>
        </is>
      </c>
    </row>
    <row r="8">
      <c r="A8" t="inlineStr">
        <is>
          <t>☐</t>
        </is>
      </c>
      <c r="B8" t="inlineStr">
        <is>
          <t>Meet all team members and understand their roles</t>
        </is>
      </c>
      <c r="D8" t="inlineStr">
        <is>
          <t>Status:</t>
        </is>
      </c>
      <c r="E8" t="inlineStr">
        <is>
          <t>⬜ Not Started</t>
        </is>
      </c>
    </row>
    <row r="9">
      <c r="A9" t="inlineStr">
        <is>
          <t>☐</t>
        </is>
      </c>
      <c r="B9" t="inlineStr">
        <is>
          <t>Understand team communication channels (Slack, email, meetings)</t>
        </is>
      </c>
      <c r="D9" t="inlineStr">
        <is>
          <t>Status:</t>
        </is>
      </c>
      <c r="E9" t="inlineStr">
        <is>
          <t>⬜ Not Started</t>
        </is>
      </c>
    </row>
    <row r="10">
      <c r="A10" t="inlineStr">
        <is>
          <t>☐</t>
        </is>
      </c>
      <c r="B10" t="inlineStr">
        <is>
          <t>Review team values and working agreements</t>
        </is>
      </c>
      <c r="D10" t="inlineStr">
        <is>
          <t>Status:</t>
        </is>
      </c>
      <c r="E10" t="inlineStr">
        <is>
          <t>⬜ Not Started</t>
        </is>
      </c>
    </row>
    <row r="11">
      <c r="A11" t="inlineStr">
        <is>
          <t>☐</t>
        </is>
      </c>
      <c r="B11" t="inlineStr">
        <is>
          <t>Set up 1-on-1 schedule with manager</t>
        </is>
      </c>
      <c r="D11" t="inlineStr">
        <is>
          <t>Status:</t>
        </is>
      </c>
      <c r="E11" t="inlineStr">
        <is>
          <t>⬜ Not Started</t>
        </is>
      </c>
    </row>
    <row r="12">
      <c r="A12" t="inlineStr">
        <is>
          <t>☐</t>
        </is>
      </c>
      <c r="B12" t="inlineStr">
        <is>
          <t>Understand sprint ceremonies and participate actively</t>
        </is>
      </c>
      <c r="D12" t="inlineStr">
        <is>
          <t>Status:</t>
        </is>
      </c>
      <c r="E12" t="inlineStr">
        <is>
          <t>⬜ Not Started</t>
        </is>
      </c>
    </row>
    <row r="14">
      <c r="A14" s="23" t="inlineStr">
        <is>
          <t>Tools &amp; Access</t>
        </is>
      </c>
    </row>
    <row r="15">
      <c r="A15" t="inlineStr">
        <is>
          <t>☐</t>
        </is>
      </c>
      <c r="B15" t="inlineStr">
        <is>
          <t>Get access to all required tools (Jira, TestRail, Git, etc.)</t>
        </is>
      </c>
      <c r="D15" t="inlineStr">
        <is>
          <t>Status:</t>
        </is>
      </c>
      <c r="E15" t="inlineStr">
        <is>
          <t>⬜ Not Started</t>
        </is>
      </c>
    </row>
    <row r="16">
      <c r="A16" t="inlineStr">
        <is>
          <t>☐</t>
        </is>
      </c>
      <c r="B16" t="inlineStr">
        <is>
          <t>Set up development environment</t>
        </is>
      </c>
      <c r="D16" t="inlineStr">
        <is>
          <t>Status:</t>
        </is>
      </c>
      <c r="E16" t="inlineStr">
        <is>
          <t>⬜ Not Started</t>
        </is>
      </c>
    </row>
    <row r="17">
      <c r="A17" t="inlineStr">
        <is>
          <t>☐</t>
        </is>
      </c>
      <c r="B17" t="inlineStr">
        <is>
          <t>Complete tool-specific training</t>
        </is>
      </c>
      <c r="D17" t="inlineStr">
        <is>
          <t>Status:</t>
        </is>
      </c>
      <c r="E17" t="inlineStr">
        <is>
          <t>⬜ Not Started</t>
        </is>
      </c>
    </row>
    <row r="18">
      <c r="A18" t="inlineStr">
        <is>
          <t>☐</t>
        </is>
      </c>
      <c r="B18" t="inlineStr">
        <is>
          <t>Understand CI/CD pipeline basics</t>
        </is>
      </c>
      <c r="D18" t="inlineStr">
        <is>
          <t>Status:</t>
        </is>
      </c>
      <c r="E18" t="inlineStr">
        <is>
          <t>⬜ Not Started</t>
        </is>
      </c>
    </row>
    <row r="19">
      <c r="A19" t="inlineStr">
        <is>
          <t>☐</t>
        </is>
      </c>
      <c r="B19" t="inlineStr">
        <is>
          <t>Learn to navigate codebase and documentation</t>
        </is>
      </c>
      <c r="D19" t="inlineStr">
        <is>
          <t>Status:</t>
        </is>
      </c>
      <c r="E19" t="inlineStr">
        <is>
          <t>⬜ Not Started</t>
        </is>
      </c>
    </row>
    <row r="21">
      <c r="A21" s="23" t="inlineStr">
        <is>
          <t>Product Knowledge</t>
        </is>
      </c>
    </row>
    <row r="22">
      <c r="A22" t="inlineStr">
        <is>
          <t>☐</t>
        </is>
      </c>
      <c r="B22" t="inlineStr">
        <is>
          <t>Complete product walkthrough with PM or senior QA</t>
        </is>
      </c>
      <c r="D22" t="inlineStr">
        <is>
          <t>Status:</t>
        </is>
      </c>
      <c r="E22" t="inlineStr">
        <is>
          <t>⬜ Not Started</t>
        </is>
      </c>
    </row>
    <row r="23">
      <c r="A23" t="inlineStr">
        <is>
          <t>☐</t>
        </is>
      </c>
      <c r="B23" t="inlineStr">
        <is>
          <t>Understand main user personas and use cases</t>
        </is>
      </c>
      <c r="D23" t="inlineStr">
        <is>
          <t>Status:</t>
        </is>
      </c>
      <c r="E23" t="inlineStr">
        <is>
          <t>⬜ Not Started</t>
        </is>
      </c>
    </row>
    <row r="24">
      <c r="A24" t="inlineStr">
        <is>
          <t>☐</t>
        </is>
      </c>
      <c r="B24" t="inlineStr">
        <is>
          <t>Review product documentation and architecture</t>
        </is>
      </c>
      <c r="D24" t="inlineStr">
        <is>
          <t>Status:</t>
        </is>
      </c>
      <c r="E24" t="inlineStr">
        <is>
          <t>⬜ Not Started</t>
        </is>
      </c>
    </row>
    <row r="25">
      <c r="A25" t="inlineStr">
        <is>
          <t>☐</t>
        </is>
      </c>
      <c r="B25" t="inlineStr">
        <is>
          <t>Shadow testing sessions with senior team members</t>
        </is>
      </c>
      <c r="D25" t="inlineStr">
        <is>
          <t>Status:</t>
        </is>
      </c>
      <c r="E25" t="inlineStr">
        <is>
          <t>⬜ Not Started</t>
        </is>
      </c>
    </row>
    <row r="26">
      <c r="A26" t="inlineStr">
        <is>
          <t>☐</t>
        </is>
      </c>
      <c r="B26" t="inlineStr">
        <is>
          <t>Execute first test cases with guidance</t>
        </is>
      </c>
      <c r="D26" t="inlineStr">
        <is>
          <t>Status:</t>
        </is>
      </c>
      <c r="E26" t="inlineStr">
        <is>
          <t>⬜ Not Started</t>
        </is>
      </c>
    </row>
    <row r="28">
      <c r="A28" s="23" t="inlineStr">
        <is>
          <t>Process</t>
        </is>
      </c>
    </row>
    <row r="29">
      <c r="A29" t="inlineStr">
        <is>
          <t>☐</t>
        </is>
      </c>
      <c r="B29" t="inlineStr">
        <is>
          <t>Understand QA process and testing lifecycle</t>
        </is>
      </c>
      <c r="D29" t="inlineStr">
        <is>
          <t>Status:</t>
        </is>
      </c>
      <c r="E29" t="inlineStr">
        <is>
          <t>⬜ Not Started</t>
        </is>
      </c>
    </row>
    <row r="30">
      <c r="A30" t="inlineStr">
        <is>
          <t>☐</t>
        </is>
      </c>
      <c r="B30" t="inlineStr">
        <is>
          <t>Learn bug reporting standards and templates</t>
        </is>
      </c>
      <c r="D30" t="inlineStr">
        <is>
          <t>Status:</t>
        </is>
      </c>
      <c r="E30" t="inlineStr">
        <is>
          <t>⬜ Not Started</t>
        </is>
      </c>
    </row>
    <row r="31">
      <c r="A31" t="inlineStr">
        <is>
          <t>☐</t>
        </is>
      </c>
      <c r="B31" t="inlineStr">
        <is>
          <t>Understand test case management practices</t>
        </is>
      </c>
      <c r="D31" t="inlineStr">
        <is>
          <t>Status:</t>
        </is>
      </c>
      <c r="E31" t="inlineStr">
        <is>
          <t>⬜ Not Started</t>
        </is>
      </c>
    </row>
    <row r="32">
      <c r="A32" t="inlineStr">
        <is>
          <t>☐</t>
        </is>
      </c>
      <c r="B32" t="inlineStr">
        <is>
          <t>Review quality metrics and how they're tracked</t>
        </is>
      </c>
      <c r="D32" t="inlineStr">
        <is>
          <t>Status:</t>
        </is>
      </c>
      <c r="E32" t="inlineStr">
        <is>
          <t>⬜ Not Started</t>
        </is>
      </c>
    </row>
    <row r="33">
      <c r="A33" t="inlineStr">
        <is>
          <t>☐</t>
        </is>
      </c>
      <c r="B33" t="inlineStr">
        <is>
          <t>Complete first bug report with feedback</t>
        </is>
      </c>
      <c r="D33" t="inlineStr">
        <is>
          <t>Status:</t>
        </is>
      </c>
      <c r="E33" t="inlineStr">
        <is>
          <t>⬜ Not Started</t>
        </is>
      </c>
    </row>
    <row r="36">
      <c r="A36" s="21" t="inlineStr">
        <is>
          <t>📅 DAYS 31-60 - Building Competence</t>
        </is>
      </c>
    </row>
    <row r="37">
      <c r="A37" s="12" t="inlineStr">
        <is>
          <t>Goal: Start contributing independently, deepen product knowledge</t>
        </is>
      </c>
    </row>
    <row r="39">
      <c r="A39" s="23" t="inlineStr">
        <is>
          <t>Testing Skills</t>
        </is>
      </c>
    </row>
    <row r="40">
      <c r="A40" t="inlineStr">
        <is>
          <t>☐</t>
        </is>
      </c>
      <c r="B40" t="inlineStr">
        <is>
          <t>Write test cases independently for assigned features</t>
        </is>
      </c>
      <c r="D40" t="inlineStr">
        <is>
          <t>Status:</t>
        </is>
      </c>
      <c r="E40" t="inlineStr">
        <is>
          <t>⬜ Not Started</t>
        </is>
      </c>
    </row>
    <row r="41">
      <c r="A41" t="inlineStr">
        <is>
          <t>☐</t>
        </is>
      </c>
      <c r="B41" t="inlineStr">
        <is>
          <t>Execute full test cycles with minimal guidance</t>
        </is>
      </c>
      <c r="D41" t="inlineStr">
        <is>
          <t>Status:</t>
        </is>
      </c>
      <c r="E41" t="inlineStr">
        <is>
          <t>⬜ Not Started</t>
        </is>
      </c>
    </row>
    <row r="42">
      <c r="A42" t="inlineStr">
        <is>
          <t>☐</t>
        </is>
      </c>
      <c r="B42" t="inlineStr">
        <is>
          <t>Identify and report bugs following standards</t>
        </is>
      </c>
      <c r="D42" t="inlineStr">
        <is>
          <t>Status:</t>
        </is>
      </c>
      <c r="E42" t="inlineStr">
        <is>
          <t>⬜ Not Started</t>
        </is>
      </c>
    </row>
    <row r="43">
      <c r="A43" t="inlineStr">
        <is>
          <t>☐</t>
        </is>
      </c>
      <c r="B43" t="inlineStr">
        <is>
          <t>Start learning test automation basics</t>
        </is>
      </c>
      <c r="D43" t="inlineStr">
        <is>
          <t>Status:</t>
        </is>
      </c>
      <c r="E43" t="inlineStr">
        <is>
          <t>⬜ Not Started</t>
        </is>
      </c>
    </row>
    <row r="44">
      <c r="A44" t="inlineStr">
        <is>
          <t>☐</t>
        </is>
      </c>
      <c r="B44" t="inlineStr">
        <is>
          <t>Participate in test planning sessions</t>
        </is>
      </c>
      <c r="D44" t="inlineStr">
        <is>
          <t>Status:</t>
        </is>
      </c>
      <c r="E44" t="inlineStr">
        <is>
          <t>⬜ Not Started</t>
        </is>
      </c>
    </row>
    <row r="46">
      <c r="A46" s="23" t="inlineStr">
        <is>
          <t>Product Depth</t>
        </is>
      </c>
    </row>
    <row r="47">
      <c r="A47" t="inlineStr">
        <is>
          <t>☐</t>
        </is>
      </c>
      <c r="B47" t="inlineStr">
        <is>
          <t>Understand integration points between modules</t>
        </is>
      </c>
      <c r="D47" t="inlineStr">
        <is>
          <t>Status:</t>
        </is>
      </c>
      <c r="E47" t="inlineStr">
        <is>
          <t>⬜ Not Started</t>
        </is>
      </c>
    </row>
    <row r="48">
      <c r="A48" t="inlineStr">
        <is>
          <t>☐</t>
        </is>
      </c>
      <c r="B48" t="inlineStr">
        <is>
          <t>Learn data flows and business rules</t>
        </is>
      </c>
      <c r="D48" t="inlineStr">
        <is>
          <t>Status:</t>
        </is>
      </c>
      <c r="E48" t="inlineStr">
        <is>
          <t>⬜ Not Started</t>
        </is>
      </c>
    </row>
    <row r="49">
      <c r="A49" t="inlineStr">
        <is>
          <t>☐</t>
        </is>
      </c>
      <c r="B49" t="inlineStr">
        <is>
          <t>Start identifying edge cases and risks</t>
        </is>
      </c>
      <c r="D49" t="inlineStr">
        <is>
          <t>Status:</t>
        </is>
      </c>
      <c r="E49" t="inlineStr">
        <is>
          <t>⬜ Not Started</t>
        </is>
      </c>
    </row>
    <row r="50">
      <c r="A50" t="inlineStr">
        <is>
          <t>☐</t>
        </is>
      </c>
      <c r="B50" t="inlineStr">
        <is>
          <t>Build relationships with developers on your features</t>
        </is>
      </c>
      <c r="D50" t="inlineStr">
        <is>
          <t>Status:</t>
        </is>
      </c>
      <c r="E50" t="inlineStr">
        <is>
          <t>⬜ Not Started</t>
        </is>
      </c>
    </row>
    <row r="51">
      <c r="A51" t="inlineStr">
        <is>
          <t>☐</t>
        </is>
      </c>
      <c r="B51" t="inlineStr">
        <is>
          <t>Understand production environment and monitoring</t>
        </is>
      </c>
      <c r="D51" t="inlineStr">
        <is>
          <t>Status:</t>
        </is>
      </c>
      <c r="E51" t="inlineStr">
        <is>
          <t>⬜ Not Started</t>
        </is>
      </c>
    </row>
    <row r="53">
      <c r="A53" s="23" t="inlineStr">
        <is>
          <t>Collaboration</t>
        </is>
      </c>
    </row>
    <row r="54">
      <c r="A54" t="inlineStr">
        <is>
          <t>☐</t>
        </is>
      </c>
      <c r="B54" t="inlineStr">
        <is>
          <t>Participate actively in sprint ceremonies</t>
        </is>
      </c>
      <c r="D54" t="inlineStr">
        <is>
          <t>Status:</t>
        </is>
      </c>
      <c r="E54" t="inlineStr">
        <is>
          <t>⬜ Not Started</t>
        </is>
      </c>
    </row>
    <row r="55">
      <c r="A55" t="inlineStr">
        <is>
          <t>☐</t>
        </is>
      </c>
      <c r="B55" t="inlineStr">
        <is>
          <t>Provide status updates proactively</t>
        </is>
      </c>
      <c r="D55" t="inlineStr">
        <is>
          <t>Status:</t>
        </is>
      </c>
      <c r="E55" t="inlineStr">
        <is>
          <t>⬜ Not Started</t>
        </is>
      </c>
    </row>
    <row r="56">
      <c r="A56" t="inlineStr">
        <is>
          <t>☐</t>
        </is>
      </c>
      <c r="B56" t="inlineStr">
        <is>
          <t>Ask clarifying questions on requirements</t>
        </is>
      </c>
      <c r="D56" t="inlineStr">
        <is>
          <t>Status:</t>
        </is>
      </c>
      <c r="E56" t="inlineStr">
        <is>
          <t>⬜ Not Started</t>
        </is>
      </c>
    </row>
    <row r="57">
      <c r="A57" t="inlineStr">
        <is>
          <t>☐</t>
        </is>
      </c>
      <c r="B57" t="inlineStr">
        <is>
          <t>Start pair testing with other QA members</t>
        </is>
      </c>
      <c r="D57" t="inlineStr">
        <is>
          <t>Status:</t>
        </is>
      </c>
      <c r="E57" t="inlineStr">
        <is>
          <t>⬜ Not Started</t>
        </is>
      </c>
    </row>
    <row r="58">
      <c r="A58" t="inlineStr">
        <is>
          <t>☐</t>
        </is>
      </c>
      <c r="B58" t="inlineStr">
        <is>
          <t>Give feedback in retrospectives</t>
        </is>
      </c>
      <c r="D58" t="inlineStr">
        <is>
          <t>Status:</t>
        </is>
      </c>
      <c r="E58" t="inlineStr">
        <is>
          <t>⬜ Not Started</t>
        </is>
      </c>
    </row>
    <row r="60">
      <c r="A60" s="23" t="inlineStr">
        <is>
          <t>Growth</t>
        </is>
      </c>
    </row>
    <row r="61">
      <c r="A61" t="inlineStr">
        <is>
          <t>☐</t>
        </is>
      </c>
      <c r="B61" t="inlineStr">
        <is>
          <t>Complete initial self-assessment using competency framework</t>
        </is>
      </c>
      <c r="D61" t="inlineStr">
        <is>
          <t>Status:</t>
        </is>
      </c>
      <c r="E61" t="inlineStr">
        <is>
          <t>⬜ Not Started</t>
        </is>
      </c>
    </row>
    <row r="62">
      <c r="A62" t="inlineStr">
        <is>
          <t>☐</t>
        </is>
      </c>
      <c r="B62" t="inlineStr">
        <is>
          <t>Identify 2-3 areas for focused improvement</t>
        </is>
      </c>
      <c r="D62" t="inlineStr">
        <is>
          <t>Status:</t>
        </is>
      </c>
      <c r="E62" t="inlineStr">
        <is>
          <t>⬜ Not Started</t>
        </is>
      </c>
    </row>
    <row r="63">
      <c r="A63" t="inlineStr">
        <is>
          <t>☐</t>
        </is>
      </c>
      <c r="B63" t="inlineStr">
        <is>
          <t>Start working on learning plan</t>
        </is>
      </c>
      <c r="D63" t="inlineStr">
        <is>
          <t>Status:</t>
        </is>
      </c>
      <c r="E63" t="inlineStr">
        <is>
          <t>⬜ Not Started</t>
        </is>
      </c>
    </row>
    <row r="64">
      <c r="A64" t="inlineStr">
        <is>
          <t>☐</t>
        </is>
      </c>
      <c r="B64" t="inlineStr">
        <is>
          <t>Seek feedback from team members</t>
        </is>
      </c>
      <c r="D64" t="inlineStr">
        <is>
          <t>Status:</t>
        </is>
      </c>
      <c r="E64" t="inlineStr">
        <is>
          <t>⬜ Not Started</t>
        </is>
      </c>
    </row>
    <row r="65">
      <c r="A65" t="inlineStr">
        <is>
          <t>☐</t>
        </is>
      </c>
      <c r="B65" t="inlineStr">
        <is>
          <t>Document learnings and questions</t>
        </is>
      </c>
      <c r="D65" t="inlineStr">
        <is>
          <t>Status:</t>
        </is>
      </c>
      <c r="E65" t="inlineStr">
        <is>
          <t>⬜ Not Started</t>
        </is>
      </c>
    </row>
    <row r="68">
      <c r="A68" s="21" t="inlineStr">
        <is>
          <t>📅 DAYS 61-90 - Independence</t>
        </is>
      </c>
    </row>
    <row r="69">
      <c r="A69" s="12" t="inlineStr">
        <is>
          <t>Goal: Own feature quality, contribute to improvements</t>
        </is>
      </c>
    </row>
    <row r="71">
      <c r="A71" s="23" t="inlineStr">
        <is>
          <t>Ownership</t>
        </is>
      </c>
    </row>
    <row r="72">
      <c r="A72" t="inlineStr">
        <is>
          <t>☐</t>
        </is>
      </c>
      <c r="B72" t="inlineStr">
        <is>
          <t>Own testing for at least one feature end-to-end</t>
        </is>
      </c>
      <c r="D72" t="inlineStr">
        <is>
          <t>Status:</t>
        </is>
      </c>
      <c r="E72" t="inlineStr">
        <is>
          <t>⬜ Not Started</t>
        </is>
      </c>
    </row>
    <row r="73">
      <c r="A73" t="inlineStr">
        <is>
          <t>☐</t>
        </is>
      </c>
      <c r="B73" t="inlineStr">
        <is>
          <t>Create test strategy for new features</t>
        </is>
      </c>
      <c r="D73" t="inlineStr">
        <is>
          <t>Status:</t>
        </is>
      </c>
      <c r="E73" t="inlineStr">
        <is>
          <t>⬜ Not Started</t>
        </is>
      </c>
    </row>
    <row r="74">
      <c r="A74" t="inlineStr">
        <is>
          <t>☐</t>
        </is>
      </c>
      <c r="B74" t="inlineStr">
        <is>
          <t>Identify risks and communicate proactively</t>
        </is>
      </c>
      <c r="D74" t="inlineStr">
        <is>
          <t>Status:</t>
        </is>
      </c>
      <c r="E74" t="inlineStr">
        <is>
          <t>⬜ Not Started</t>
        </is>
      </c>
    </row>
    <row r="75">
      <c r="A75" t="inlineStr">
        <is>
          <t>☐</t>
        </is>
      </c>
      <c r="B75" t="inlineStr">
        <is>
          <t>Drive bugs to resolution</t>
        </is>
      </c>
      <c r="D75" t="inlineStr">
        <is>
          <t>Status:</t>
        </is>
      </c>
      <c r="E75" t="inlineStr">
        <is>
          <t>⬜ Not Started</t>
        </is>
      </c>
    </row>
    <row r="76">
      <c r="A76" t="inlineStr">
        <is>
          <t>☐</t>
        </is>
      </c>
      <c r="B76" t="inlineStr">
        <is>
          <t>Ensure release readiness for your features</t>
        </is>
      </c>
      <c r="D76" t="inlineStr">
        <is>
          <t>Status:</t>
        </is>
      </c>
      <c r="E76" t="inlineStr">
        <is>
          <t>⬜ Not Started</t>
        </is>
      </c>
    </row>
    <row r="78">
      <c r="A78" s="23" t="inlineStr">
        <is>
          <t>Technical Growth</t>
        </is>
      </c>
    </row>
    <row r="79">
      <c r="A79" t="inlineStr">
        <is>
          <t>☐</t>
        </is>
      </c>
      <c r="B79" t="inlineStr">
        <is>
          <t>Write automated tests (if applicable)</t>
        </is>
      </c>
      <c r="D79" t="inlineStr">
        <is>
          <t>Status:</t>
        </is>
      </c>
      <c r="E79" t="inlineStr">
        <is>
          <t>⬜ Not Started</t>
        </is>
      </c>
    </row>
    <row r="80">
      <c r="A80" t="inlineStr">
        <is>
          <t>☐</t>
        </is>
      </c>
      <c r="B80" t="inlineStr">
        <is>
          <t>Perform API testing independently</t>
        </is>
      </c>
      <c r="D80" t="inlineStr">
        <is>
          <t>Status:</t>
        </is>
      </c>
      <c r="E80" t="inlineStr">
        <is>
          <t>⬜ Not Started</t>
        </is>
      </c>
    </row>
    <row r="81">
      <c r="A81" t="inlineStr">
        <is>
          <t>☐</t>
        </is>
      </c>
      <c r="B81" t="inlineStr">
        <is>
          <t>Understand performance testing basics</t>
        </is>
      </c>
      <c r="D81" t="inlineStr">
        <is>
          <t>Status:</t>
        </is>
      </c>
      <c r="E81" t="inlineStr">
        <is>
          <t>⬜ Not Started</t>
        </is>
      </c>
    </row>
    <row r="82">
      <c r="A82" t="inlineStr">
        <is>
          <t>☐</t>
        </is>
      </c>
      <c r="B82" t="inlineStr">
        <is>
          <t>Contribute to test automation framework</t>
        </is>
      </c>
      <c r="D82" t="inlineStr">
        <is>
          <t>Status:</t>
        </is>
      </c>
      <c r="E82" t="inlineStr">
        <is>
          <t>⬜ Not Started</t>
        </is>
      </c>
    </row>
    <row r="83">
      <c r="A83" t="inlineStr">
        <is>
          <t>☐</t>
        </is>
      </c>
      <c r="B83" t="inlineStr">
        <is>
          <t>Review and improve existing test cases</t>
        </is>
      </c>
      <c r="D83" t="inlineStr">
        <is>
          <t>Status:</t>
        </is>
      </c>
      <c r="E83" t="inlineStr">
        <is>
          <t>⬜ Not Started</t>
        </is>
      </c>
    </row>
    <row r="85">
      <c r="A85" s="23" t="inlineStr">
        <is>
          <t>Team Contribution</t>
        </is>
      </c>
    </row>
    <row r="86">
      <c r="A86" t="inlineStr">
        <is>
          <t>☐</t>
        </is>
      </c>
      <c r="B86" t="inlineStr">
        <is>
          <t>Help onboard newer team members</t>
        </is>
      </c>
      <c r="D86" t="inlineStr">
        <is>
          <t>Status:</t>
        </is>
      </c>
      <c r="E86" t="inlineStr">
        <is>
          <t>⬜ Not Started</t>
        </is>
      </c>
    </row>
    <row r="87">
      <c r="A87" t="inlineStr">
        <is>
          <t>☐</t>
        </is>
      </c>
      <c r="B87" t="inlineStr">
        <is>
          <t>Suggest process improvements</t>
        </is>
      </c>
      <c r="D87" t="inlineStr">
        <is>
          <t>Status:</t>
        </is>
      </c>
      <c r="E87" t="inlineStr">
        <is>
          <t>⬜ Not Started</t>
        </is>
      </c>
    </row>
    <row r="88">
      <c r="A88" t="inlineStr">
        <is>
          <t>☐</t>
        </is>
      </c>
      <c r="B88" t="inlineStr">
        <is>
          <t>Share knowledge with the team</t>
        </is>
      </c>
      <c r="D88" t="inlineStr">
        <is>
          <t>Status:</t>
        </is>
      </c>
      <c r="E88" t="inlineStr">
        <is>
          <t>⬜ Not Started</t>
        </is>
      </c>
    </row>
    <row r="89">
      <c r="A89" t="inlineStr">
        <is>
          <t>☐</t>
        </is>
      </c>
      <c r="B89" t="inlineStr">
        <is>
          <t>Participate in code/test reviews</t>
        </is>
      </c>
      <c r="D89" t="inlineStr">
        <is>
          <t>Status:</t>
        </is>
      </c>
      <c r="E89" t="inlineStr">
        <is>
          <t>⬜ Not Started</t>
        </is>
      </c>
    </row>
    <row r="90">
      <c r="A90" t="inlineStr">
        <is>
          <t>☐</t>
        </is>
      </c>
      <c r="B90" t="inlineStr">
        <is>
          <t>Contribute to team documentation</t>
        </is>
      </c>
      <c r="D90" t="inlineStr">
        <is>
          <t>Status:</t>
        </is>
      </c>
      <c r="E90" t="inlineStr">
        <is>
          <t>⬜ Not Started</t>
        </is>
      </c>
    </row>
    <row r="92">
      <c r="A92" s="23" t="inlineStr">
        <is>
          <t>Career Development</t>
        </is>
      </c>
    </row>
    <row r="93">
      <c r="A93" t="inlineStr">
        <is>
          <t>☐</t>
        </is>
      </c>
      <c r="B93" t="inlineStr">
        <is>
          <t>Complete 90-day review with manager</t>
        </is>
      </c>
      <c r="D93" t="inlineStr">
        <is>
          <t>Status:</t>
        </is>
      </c>
      <c r="E93" t="inlineStr">
        <is>
          <t>⬜ Not Started</t>
        </is>
      </c>
    </row>
    <row r="94">
      <c r="A94" t="inlineStr">
        <is>
          <t>☐</t>
        </is>
      </c>
      <c r="B94" t="inlineStr">
        <is>
          <t>Update competency self-assessment</t>
        </is>
      </c>
      <c r="D94" t="inlineStr">
        <is>
          <t>Status:</t>
        </is>
      </c>
      <c r="E94" t="inlineStr">
        <is>
          <t>⬜ Not Started</t>
        </is>
      </c>
    </row>
    <row r="95">
      <c r="A95" t="inlineStr">
        <is>
          <t>☐</t>
        </is>
      </c>
      <c r="B95" t="inlineStr">
        <is>
          <t>Set goals for next quarter</t>
        </is>
      </c>
      <c r="D95" t="inlineStr">
        <is>
          <t>Status:</t>
        </is>
      </c>
      <c r="E95" t="inlineStr">
        <is>
          <t>⬜ Not Started</t>
        </is>
      </c>
    </row>
    <row r="96">
      <c r="A96" t="inlineStr">
        <is>
          <t>☐</t>
        </is>
      </c>
      <c r="B96" t="inlineStr">
        <is>
          <t>Identify mentor or buddy</t>
        </is>
      </c>
      <c r="D96" t="inlineStr">
        <is>
          <t>Status:</t>
        </is>
      </c>
      <c r="E96" t="inlineStr">
        <is>
          <t>⬜ Not Started</t>
        </is>
      </c>
    </row>
    <row r="97">
      <c r="A97" t="inlineStr">
        <is>
          <t>☐</t>
        </is>
      </c>
      <c r="B97" t="inlineStr">
        <is>
          <t>Create development plan for year 1</t>
        </is>
      </c>
      <c r="D97" t="inlineStr">
        <is>
          <t>Status:</t>
        </is>
      </c>
      <c r="E97" t="inlineStr">
        <is>
          <t>⬜ Not Started</t>
        </is>
      </c>
    </row>
    <row r="101">
      <c r="A101" s="13" t="inlineStr">
        <is>
          <t>✅ COMPLETION SIGN-OFF</t>
        </is>
      </c>
    </row>
    <row r="103">
      <c r="A103" s="22" t="inlineStr">
        <is>
          <t>30-Day Review</t>
        </is>
      </c>
      <c r="B103" t="inlineStr">
        <is>
          <t>Date:</t>
        </is>
      </c>
      <c r="C103" t="inlineStr">
        <is>
          <t>Manager:</t>
        </is>
      </c>
      <c r="D103" t="inlineStr">
        <is>
          <t>Notes:</t>
        </is>
      </c>
    </row>
    <row r="104">
      <c r="B104" t="inlineStr">
        <is>
          <t>[Date]</t>
        </is>
      </c>
      <c r="C104" t="inlineStr">
        <is>
          <t>[Signature]</t>
        </is>
      </c>
      <c r="D104" t="inlineStr">
        <is>
          <t>[Notes]</t>
        </is>
      </c>
    </row>
    <row r="106">
      <c r="A106" s="22" t="inlineStr">
        <is>
          <t>60-Day Review</t>
        </is>
      </c>
      <c r="B106" t="inlineStr">
        <is>
          <t>Date:</t>
        </is>
      </c>
      <c r="C106" t="inlineStr">
        <is>
          <t>Manager:</t>
        </is>
      </c>
      <c r="D106" t="inlineStr">
        <is>
          <t>Notes:</t>
        </is>
      </c>
    </row>
    <row r="107">
      <c r="B107" t="inlineStr">
        <is>
          <t>[Date]</t>
        </is>
      </c>
      <c r="C107" t="inlineStr">
        <is>
          <t>[Signature]</t>
        </is>
      </c>
      <c r="D107" t="inlineStr">
        <is>
          <t>[Notes]</t>
        </is>
      </c>
    </row>
    <row r="109">
      <c r="A109" s="22" t="inlineStr">
        <is>
          <t>90-Day Review</t>
        </is>
      </c>
      <c r="B109" t="inlineStr">
        <is>
          <t>Date:</t>
        </is>
      </c>
      <c r="C109" t="inlineStr">
        <is>
          <t>Manager:</t>
        </is>
      </c>
      <c r="D109" t="inlineStr">
        <is>
          <t>Notes:</t>
        </is>
      </c>
    </row>
    <row r="110">
      <c r="B110" t="inlineStr">
        <is>
          <t>[Date]</t>
        </is>
      </c>
      <c r="C110" t="inlineStr">
        <is>
          <t>[Signature]</t>
        </is>
      </c>
      <c r="D110" t="inlineStr">
        <is>
          <t>[Notes]</t>
        </is>
      </c>
    </row>
  </sheetData>
  <mergeCells count="10">
    <mergeCell ref="A69:E69"/>
    <mergeCell ref="A4:E4"/>
    <mergeCell ref="D104:E104"/>
    <mergeCell ref="A68:E68"/>
    <mergeCell ref="A1:E1"/>
    <mergeCell ref="A37:E37"/>
    <mergeCell ref="A5:E5"/>
    <mergeCell ref="A36:E36"/>
    <mergeCell ref="D107:E107"/>
    <mergeCell ref="D110:E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1" t="inlineStr">
        <is>
          <t>TEAM COMPETENCY DASHBOARD</t>
        </is>
      </c>
    </row>
    <row r="2">
      <c r="A2" s="12" t="inlineStr">
        <is>
          <t>Last Updated: [Date]</t>
        </is>
      </c>
    </row>
    <row r="4">
      <c r="A4" s="3" t="inlineStr">
        <is>
          <t>👥 TEAM ROSTER &amp; SUMMARY</t>
        </is>
      </c>
    </row>
    <row r="5">
      <c r="A5" s="4" t="inlineStr">
        <is>
          <t>Name</t>
        </is>
      </c>
      <c r="B5" s="4" t="inlineStr">
        <is>
          <t>Role</t>
        </is>
      </c>
      <c r="C5" s="4" t="inlineStr">
        <is>
          <t>Tenure</t>
        </is>
      </c>
      <c r="D5" s="4" t="inlineStr">
        <is>
          <t>Overall</t>
        </is>
      </c>
      <c r="E5" s="4" t="inlineStr">
        <is>
          <t>Target</t>
        </is>
      </c>
      <c r="F5" s="4" t="inlineStr">
        <is>
          <t>Gap</t>
        </is>
      </c>
      <c r="G5" s="4" t="inlineStr">
        <is>
          <t>Status</t>
        </is>
      </c>
      <c r="H5" s="4" t="inlineStr">
        <is>
          <t>Last Assessment</t>
        </is>
      </c>
    </row>
    <row r="6">
      <c r="A6" s="6" t="inlineStr">
        <is>
          <t>Naufal Hilmi</t>
        </is>
      </c>
      <c r="B6" s="6" t="inlineStr">
        <is>
          <t>Senior QA</t>
        </is>
      </c>
      <c r="C6" s="6" t="inlineStr">
        <is>
          <t>2 years</t>
        </is>
      </c>
      <c r="D6" s="6" t="inlineStr"/>
      <c r="E6" s="6" t="n">
        <v>3.8</v>
      </c>
      <c r="F6" s="6">
        <f>IF(D6&lt;&gt;"",D6-E6,"")</f>
        <v/>
      </c>
      <c r="G6" s="6">
        <f>IF(F6="","",IF(F6&gt;=0,"🟢","🔴"))</f>
        <v/>
      </c>
      <c r="H6" s="6" t="inlineStr">
        <is>
          <t>[Date]</t>
        </is>
      </c>
    </row>
    <row r="7">
      <c r="A7" s="6" t="inlineStr">
        <is>
          <t>Abhipraya Radityaqsho Esmano</t>
        </is>
      </c>
      <c r="B7" s="6" t="inlineStr">
        <is>
          <t>Mid QA</t>
        </is>
      </c>
      <c r="C7" s="6" t="inlineStr">
        <is>
          <t>1 year</t>
        </is>
      </c>
      <c r="D7" s="6" t="inlineStr"/>
      <c r="E7" s="6" t="n">
        <v>2.8</v>
      </c>
      <c r="F7" s="6">
        <f>IF(D7&lt;&gt;"",D7-E7,"")</f>
        <v/>
      </c>
      <c r="G7" s="6">
        <f>IF(F7="","",IF(F7&gt;=0,"🟢","🔴"))</f>
        <v/>
      </c>
      <c r="H7" s="6" t="inlineStr">
        <is>
          <t>[Date]</t>
        </is>
      </c>
    </row>
    <row r="8">
      <c r="A8" s="6" t="inlineStr">
        <is>
          <t>Rendy Pratama</t>
        </is>
      </c>
      <c r="B8" s="6" t="inlineStr">
        <is>
          <t>Junior QA</t>
        </is>
      </c>
      <c r="C8" s="6" t="inlineStr">
        <is>
          <t>6 months</t>
        </is>
      </c>
      <c r="D8" s="6" t="inlineStr"/>
      <c r="E8" s="6" t="n">
        <v>1.8</v>
      </c>
      <c r="F8" s="6">
        <f>IF(D8&lt;&gt;"",D8-E8,"")</f>
        <v/>
      </c>
      <c r="G8" s="6">
        <f>IF(F8="","",IF(F8&gt;=0,"🟢","🔴"))</f>
        <v/>
      </c>
      <c r="H8" s="6" t="inlineStr">
        <is>
          <t>[Date]</t>
        </is>
      </c>
    </row>
    <row r="9">
      <c r="A9" s="6" t="inlineStr">
        <is>
          <t>Theo Galang Saputra</t>
        </is>
      </c>
      <c r="B9" s="6" t="inlineStr">
        <is>
          <t>Senior QA</t>
        </is>
      </c>
      <c r="C9" s="6" t="inlineStr">
        <is>
          <t>3 years</t>
        </is>
      </c>
      <c r="D9" s="6" t="inlineStr"/>
      <c r="E9" s="6" t="n">
        <v>3.8</v>
      </c>
      <c r="F9" s="6">
        <f>IF(D9&lt;&gt;"",D9-E9,"")</f>
        <v/>
      </c>
      <c r="G9" s="6">
        <f>IF(F9="","",IF(F9&gt;=0,"🟢","🔴"))</f>
        <v/>
      </c>
      <c r="H9" s="6" t="inlineStr">
        <is>
          <t>[Date]</t>
        </is>
      </c>
    </row>
    <row r="10">
      <c r="A10" s="6" t="inlineStr">
        <is>
          <t>Pebri Sangmajadi Sinaga</t>
        </is>
      </c>
      <c r="B10" s="6" t="inlineStr">
        <is>
          <t>Mid QA</t>
        </is>
      </c>
      <c r="C10" s="6" t="inlineStr">
        <is>
          <t>1.5 years</t>
        </is>
      </c>
      <c r="D10" s="6" t="inlineStr"/>
      <c r="E10" s="6" t="n">
        <v>2.8</v>
      </c>
      <c r="F10" s="6">
        <f>IF(D10&lt;&gt;"",D10-E10,"")</f>
        <v/>
      </c>
      <c r="G10" s="6">
        <f>IF(F10="","",IF(F10&gt;=0,"🟢","🔴"))</f>
        <v/>
      </c>
      <c r="H10" s="6" t="inlineStr">
        <is>
          <t>[Date]</t>
        </is>
      </c>
    </row>
    <row r="11">
      <c r="A11" s="6" t="inlineStr">
        <is>
          <t>Ayasi Bahifatih Priyoda</t>
        </is>
      </c>
      <c r="B11" s="6" t="inlineStr">
        <is>
          <t>Junior QA</t>
        </is>
      </c>
      <c r="C11" s="6" t="inlineStr">
        <is>
          <t>6 months</t>
        </is>
      </c>
      <c r="D11" s="6" t="inlineStr"/>
      <c r="E11" s="6" t="n">
        <v>1.8</v>
      </c>
      <c r="F11" s="6">
        <f>IF(D11&lt;&gt;"",D11-E11,"")</f>
        <v/>
      </c>
      <c r="G11" s="6">
        <f>IF(F11="","",IF(F11&gt;=0,"🟢","🔴"))</f>
        <v/>
      </c>
      <c r="H11" s="6" t="inlineStr">
        <is>
          <t>[Date]</t>
        </is>
      </c>
    </row>
    <row r="12">
      <c r="A12" s="6" t="inlineStr">
        <is>
          <t>Dhammiko Budiarto</t>
        </is>
      </c>
      <c r="B12" s="6" t="inlineStr">
        <is>
          <t>QA Lead</t>
        </is>
      </c>
      <c r="C12" s="6" t="inlineStr">
        <is>
          <t>4 years</t>
        </is>
      </c>
      <c r="D12" s="6" t="inlineStr"/>
      <c r="E12" s="6" t="n">
        <v>4.5</v>
      </c>
      <c r="F12" s="6">
        <f>IF(D12&lt;&gt;"",D12-E12,"")</f>
        <v/>
      </c>
      <c r="G12" s="6">
        <f>IF(F12="","",IF(F12&gt;=0,"🟢","🔴"))</f>
        <v/>
      </c>
      <c r="H12" s="6" t="inlineStr">
        <is>
          <t>[Date]</t>
        </is>
      </c>
    </row>
    <row r="13">
      <c r="A13" s="6" t="inlineStr">
        <is>
          <t>Komang Ega Kartika</t>
        </is>
      </c>
      <c r="B13" s="6" t="inlineStr">
        <is>
          <t>Mid QA</t>
        </is>
      </c>
      <c r="C13" s="6" t="inlineStr">
        <is>
          <t>2 years</t>
        </is>
      </c>
      <c r="D13" s="6" t="inlineStr"/>
      <c r="E13" s="6" t="n">
        <v>2.8</v>
      </c>
      <c r="F13" s="6">
        <f>IF(D13&lt;&gt;"",D13-E13,"")</f>
        <v/>
      </c>
      <c r="G13" s="6">
        <f>IF(F13="","",IF(F13&gt;=0,"🟢","🔴"))</f>
        <v/>
      </c>
      <c r="H13" s="6" t="inlineStr">
        <is>
          <t>[Date]</t>
        </is>
      </c>
    </row>
    <row r="14">
      <c r="A14" s="6" t="inlineStr">
        <is>
          <t>Bagas Rayi Prabowo</t>
        </is>
      </c>
      <c r="B14" s="6" t="inlineStr">
        <is>
          <t>Senior QA</t>
        </is>
      </c>
      <c r="C14" s="6" t="inlineStr">
        <is>
          <t>2.5 years</t>
        </is>
      </c>
      <c r="D14" s="6" t="inlineStr"/>
      <c r="E14" s="6" t="n">
        <v>3.8</v>
      </c>
      <c r="F14" s="6">
        <f>IF(D14&lt;&gt;"",D14-E14,"")</f>
        <v/>
      </c>
      <c r="G14" s="6">
        <f>IF(F14="","",IF(F14&gt;=0,"🟢","🔴"))</f>
        <v/>
      </c>
      <c r="H14" s="6" t="inlineStr">
        <is>
          <t>[Date]</t>
        </is>
      </c>
    </row>
    <row r="15">
      <c r="A15" s="6" t="inlineStr">
        <is>
          <t>Pramesthi Siwambaloka</t>
        </is>
      </c>
      <c r="B15" s="6" t="inlineStr">
        <is>
          <t>Junior QA</t>
        </is>
      </c>
      <c r="C15" s="6" t="inlineStr">
        <is>
          <t>4 months</t>
        </is>
      </c>
      <c r="D15" s="6" t="inlineStr"/>
      <c r="E15" s="6" t="n">
        <v>1.8</v>
      </c>
      <c r="F15" s="6">
        <f>IF(D15&lt;&gt;"",D15-E15,"")</f>
        <v/>
      </c>
      <c r="G15" s="6">
        <f>IF(F15="","",IF(F15&gt;=0,"🟢","🔴"))</f>
        <v/>
      </c>
      <c r="H15" s="6" t="inlineStr">
        <is>
          <t>[Date]</t>
        </is>
      </c>
    </row>
    <row r="18">
      <c r="A18" s="3" t="inlineStr">
        <is>
          <t>🔥 COMPETENCY HEATMAP</t>
        </is>
      </c>
    </row>
    <row r="19">
      <c r="A19" s="4" t="inlineStr">
        <is>
          <t>Name</t>
        </is>
      </c>
      <c r="B19" s="4" t="inlineStr">
        <is>
          <t>Functional</t>
        </is>
      </c>
      <c r="C19" s="4" t="inlineStr">
        <is>
          <t>Problem</t>
        </is>
      </c>
      <c r="D19" s="4" t="inlineStr">
        <is>
          <t>Impact</t>
        </is>
      </c>
      <c r="E19" s="4" t="inlineStr">
        <is>
          <t>Comm</t>
        </is>
      </c>
      <c r="F19" s="4" t="inlineStr">
        <is>
          <t>Process</t>
        </is>
      </c>
      <c r="G19" s="4" t="inlineStr">
        <is>
          <t>Culture</t>
        </is>
      </c>
      <c r="H19" s="4" t="inlineStr">
        <is>
          <t>Avg</t>
        </is>
      </c>
    </row>
    <row r="20">
      <c r="A20" s="6" t="inlineStr">
        <is>
          <t>Naufal Hilmi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6" t="inlineStr">
        <is>
          <t>Abhipraya Radityaqsho Esmano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6" t="inlineStr">
        <is>
          <t>Rendy Pratama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6" t="inlineStr">
        <is>
          <t>Theo Galang Saputra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>
      <c r="A24" s="6" t="inlineStr">
        <is>
          <t>Pebri Sangmajadi Sinaga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6" t="inlineStr">
        <is>
          <t>Ayasi Bahifatih Priyoda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6" t="inlineStr">
        <is>
          <t>Dhammiko Budiarto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6" t="inlineStr">
        <is>
          <t>Komang Ega Kartika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6" t="inlineStr">
        <is>
          <t>Bagas Rayi Prabowo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6" t="inlineStr">
        <is>
          <t>Pramesthi Siwambaloka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2">
      <c r="A32" s="30" t="inlineStr">
        <is>
          <t>© 2025 Aditya Mirza Bahari | QA Competency Framework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NAUFAL HILMI</t>
        </is>
      </c>
    </row>
    <row r="3">
      <c r="A3" s="22" t="inlineStr">
        <is>
          <t>Role:</t>
        </is>
      </c>
      <c r="B3" t="inlineStr">
        <is>
          <t>Senior QA</t>
        </is>
      </c>
      <c r="D3" s="22" t="inlineStr">
        <is>
          <t>Tenure:</t>
        </is>
      </c>
      <c r="E3" t="inlineStr">
        <is>
          <t>2 years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3.8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4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4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4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4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4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4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4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4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4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4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4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4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4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4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3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3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3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4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4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4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4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3.8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ABHIPRAYA RADITYAQSHO ESMANO</t>
        </is>
      </c>
    </row>
    <row r="3">
      <c r="A3" s="22" t="inlineStr">
        <is>
          <t>Role:</t>
        </is>
      </c>
      <c r="B3" t="inlineStr">
        <is>
          <t>Mid QA</t>
        </is>
      </c>
      <c r="D3" s="22" t="inlineStr">
        <is>
          <t>Tenure:</t>
        </is>
      </c>
      <c r="E3" t="inlineStr">
        <is>
          <t>1 year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2.8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3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3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3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3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3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3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3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3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3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3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3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3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3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3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2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2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2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3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3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3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3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2.8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RENDY PRATAMA</t>
        </is>
      </c>
    </row>
    <row r="3">
      <c r="A3" s="22" t="inlineStr">
        <is>
          <t>Role:</t>
        </is>
      </c>
      <c r="B3" t="inlineStr">
        <is>
          <t>Junior QA</t>
        </is>
      </c>
      <c r="D3" s="22" t="inlineStr">
        <is>
          <t>Tenure:</t>
        </is>
      </c>
      <c r="E3" t="inlineStr">
        <is>
          <t>6 months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1.8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2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2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2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2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2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2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2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2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2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2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2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2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2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2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1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1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1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2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2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2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2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1.8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THEO GALANG SAPUTRA</t>
        </is>
      </c>
    </row>
    <row r="3">
      <c r="A3" s="22" t="inlineStr">
        <is>
          <t>Role:</t>
        </is>
      </c>
      <c r="B3" t="inlineStr">
        <is>
          <t>Senior QA</t>
        </is>
      </c>
      <c r="D3" s="22" t="inlineStr">
        <is>
          <t>Tenure:</t>
        </is>
      </c>
      <c r="E3" t="inlineStr">
        <is>
          <t>3 years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3.8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4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4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4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4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4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4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4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4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4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4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4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4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4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4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3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3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3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4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4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4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4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3.8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PEBRI SANGMAJADI SINAGA</t>
        </is>
      </c>
    </row>
    <row r="3">
      <c r="A3" s="22" t="inlineStr">
        <is>
          <t>Role:</t>
        </is>
      </c>
      <c r="B3" t="inlineStr">
        <is>
          <t>Mid QA</t>
        </is>
      </c>
      <c r="D3" s="22" t="inlineStr">
        <is>
          <t>Tenure:</t>
        </is>
      </c>
      <c r="E3" t="inlineStr">
        <is>
          <t>1.5 years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2.8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3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3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3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3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3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3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3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3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3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3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3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3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3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3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2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2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2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3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3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3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3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2.8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AYASI BAHIFATIH PRIYODA</t>
        </is>
      </c>
    </row>
    <row r="3">
      <c r="A3" s="22" t="inlineStr">
        <is>
          <t>Role:</t>
        </is>
      </c>
      <c r="B3" t="inlineStr">
        <is>
          <t>Junior QA</t>
        </is>
      </c>
      <c r="D3" s="22" t="inlineStr">
        <is>
          <t>Tenure:</t>
        </is>
      </c>
      <c r="E3" t="inlineStr">
        <is>
          <t>6 months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1.8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2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2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2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2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2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2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2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2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2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2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2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2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2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2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1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1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1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2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2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2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2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1.8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DHAMMIKO BUDIARTO</t>
        </is>
      </c>
    </row>
    <row r="3">
      <c r="A3" s="22" t="inlineStr">
        <is>
          <t>Role:</t>
        </is>
      </c>
      <c r="B3" t="inlineStr">
        <is>
          <t>QA Lead</t>
        </is>
      </c>
      <c r="D3" s="22" t="inlineStr">
        <is>
          <t>Tenure:</t>
        </is>
      </c>
      <c r="E3" t="inlineStr">
        <is>
          <t>4 years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4.5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4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4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4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4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4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4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4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4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5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5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5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5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5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5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4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4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4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5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5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5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5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4.5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KOMANG EGA KARTIKA</t>
        </is>
      </c>
    </row>
    <row r="3">
      <c r="A3" s="22" t="inlineStr">
        <is>
          <t>Role:</t>
        </is>
      </c>
      <c r="B3" t="inlineStr">
        <is>
          <t>Mid QA</t>
        </is>
      </c>
      <c r="D3" s="22" t="inlineStr">
        <is>
          <t>Tenure:</t>
        </is>
      </c>
      <c r="E3" t="inlineStr">
        <is>
          <t>2 years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2.8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3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3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3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3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3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3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3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3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3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3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3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3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3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3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2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2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2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3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3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3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3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2.8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BAGAS RAYI PRABOWO</t>
        </is>
      </c>
    </row>
    <row r="3">
      <c r="A3" s="22" t="inlineStr">
        <is>
          <t>Role:</t>
        </is>
      </c>
      <c r="B3" t="inlineStr">
        <is>
          <t>Senior QA</t>
        </is>
      </c>
      <c r="D3" s="22" t="inlineStr">
        <is>
          <t>Tenure:</t>
        </is>
      </c>
      <c r="E3" t="inlineStr">
        <is>
          <t>2.5 years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3.8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4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4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4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4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4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4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4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4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4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4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4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4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4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4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3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3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3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4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4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4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4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3.8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24" t="inlineStr">
        <is>
          <t>👤 PRAMESTHI SIWAMBALOKA</t>
        </is>
      </c>
    </row>
    <row r="3">
      <c r="A3" s="22" t="inlineStr">
        <is>
          <t>Role:</t>
        </is>
      </c>
      <c r="B3" t="inlineStr">
        <is>
          <t>Junior QA</t>
        </is>
      </c>
      <c r="D3" s="22" t="inlineStr">
        <is>
          <t>Tenure:</t>
        </is>
      </c>
      <c r="E3" t="inlineStr">
        <is>
          <t>4 months</t>
        </is>
      </c>
    </row>
    <row r="4">
      <c r="A4" s="22" t="inlineStr">
        <is>
          <t>Team:</t>
        </is>
      </c>
      <c r="B4" t="inlineStr">
        <is>
          <t>QA Team</t>
        </is>
      </c>
      <c r="D4" s="22" t="inlineStr">
        <is>
          <t>Manager:</t>
        </is>
      </c>
      <c r="E4" t="inlineStr">
        <is>
          <t>[Manager Name]</t>
        </is>
      </c>
    </row>
    <row r="5">
      <c r="A5" s="22" t="inlineStr">
        <is>
          <t>Target Level:</t>
        </is>
      </c>
      <c r="B5" t="n">
        <v>1.8</v>
      </c>
      <c r="D5" s="22" t="inlineStr">
        <is>
          <t>Current:</t>
        </is>
      </c>
      <c r="E5" t="inlineStr">
        <is>
          <t>[Auto-calc]</t>
        </is>
      </c>
    </row>
    <row r="7">
      <c r="A7" s="3" t="inlineStr">
        <is>
          <t>📊 COMPETENCY ASSESSMENT</t>
        </is>
      </c>
    </row>
    <row r="8">
      <c r="A8" s="4" t="inlineStr">
        <is>
          <t>Bucket</t>
        </is>
      </c>
      <c r="B8" s="4" t="inlineStr">
        <is>
          <t>Sub-Competency</t>
        </is>
      </c>
      <c r="C8" s="4" t="inlineStr">
        <is>
          <t>Self</t>
        </is>
      </c>
      <c r="D8" s="4" t="inlineStr">
        <is>
          <t>Mgr</t>
        </is>
      </c>
      <c r="E8" s="4" t="inlineStr">
        <is>
          <t>Final</t>
        </is>
      </c>
      <c r="F8" s="4" t="inlineStr">
        <is>
          <t>Target</t>
        </is>
      </c>
      <c r="G8" s="4" t="inlineStr">
        <is>
          <t>Gap</t>
        </is>
      </c>
      <c r="H8" s="4" t="inlineStr">
        <is>
          <t>Notes</t>
        </is>
      </c>
    </row>
    <row r="9">
      <c r="A9" s="25" t="inlineStr">
        <is>
          <t>Functional Excellence</t>
        </is>
      </c>
      <c r="B9" s="26" t="n"/>
      <c r="C9" s="26" t="n"/>
      <c r="D9" s="26" t="n"/>
      <c r="E9" s="26" t="n"/>
      <c r="F9" s="26" t="n"/>
      <c r="G9" s="26" t="n"/>
      <c r="H9" s="26" t="n"/>
    </row>
    <row r="10">
      <c r="A10" s="6" t="inlineStr"/>
      <c r="B10" s="6" t="inlineStr">
        <is>
          <t>Test Design</t>
        </is>
      </c>
      <c r="C10" s="6" t="inlineStr"/>
      <c r="D10" s="6" t="inlineStr"/>
      <c r="E10" s="6">
        <f>IF(AND(C10&lt;&gt;"",D10&lt;&gt;""),(C10+D10)/2,IF(C10&lt;&gt;"",C10,""))</f>
        <v/>
      </c>
      <c r="F10" s="6" t="n">
        <v>2</v>
      </c>
      <c r="G10" s="6">
        <f>IF(E10&lt;&gt;"",E10-F10,"")</f>
        <v/>
      </c>
      <c r="H10" s="6" t="inlineStr"/>
    </row>
    <row r="11">
      <c r="A11" s="6" t="inlineStr"/>
      <c r="B11" s="6" t="inlineStr">
        <is>
          <t>System Understanding</t>
        </is>
      </c>
      <c r="C11" s="6" t="inlineStr"/>
      <c r="D11" s="6" t="inlineStr"/>
      <c r="E11" s="6">
        <f>IF(AND(C11&lt;&gt;"",D11&lt;&gt;""),(C11+D11)/2,IF(C11&lt;&gt;"",C11,""))</f>
        <v/>
      </c>
      <c r="F11" s="6" t="n">
        <v>2</v>
      </c>
      <c r="G11" s="6">
        <f>IF(E11&lt;&gt;"",E11-F11,"")</f>
        <v/>
      </c>
      <c r="H11" s="6" t="inlineStr"/>
    </row>
    <row r="12">
      <c r="A12" s="6" t="inlineStr"/>
      <c r="B12" s="6" t="inlineStr">
        <is>
          <t>Bug Analysis</t>
        </is>
      </c>
      <c r="C12" s="6" t="inlineStr"/>
      <c r="D12" s="6" t="inlineStr"/>
      <c r="E12" s="6">
        <f>IF(AND(C12&lt;&gt;"",D12&lt;&gt;""),(C12+D12)/2,IF(C12&lt;&gt;"",C12,""))</f>
        <v/>
      </c>
      <c r="F12" s="6" t="n">
        <v>2</v>
      </c>
      <c r="G12" s="6">
        <f>IF(E12&lt;&gt;"",E12-F12,"")</f>
        <v/>
      </c>
      <c r="H12" s="6" t="inlineStr"/>
    </row>
    <row r="13">
      <c r="A13" s="6" t="inlineStr"/>
      <c r="B13" s="27" t="inlineStr">
        <is>
          <t>Average</t>
        </is>
      </c>
      <c r="C13" s="6" t="inlineStr"/>
      <c r="D13" s="6" t="inlineStr"/>
      <c r="E13" s="28">
        <f>IFERROR(AVERAGE(E10,E11,E12),"")</f>
        <v/>
      </c>
      <c r="F13" s="6" t="n">
        <v>2</v>
      </c>
      <c r="G13" s="6">
        <f>IF(E13&lt;&gt;"",E13-F13,"")</f>
        <v/>
      </c>
      <c r="H13" s="6" t="inlineStr"/>
    </row>
    <row r="14">
      <c r="A14" s="25" t="inlineStr">
        <is>
          <t>Problem Solving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6" t="inlineStr"/>
      <c r="B15" s="6" t="inlineStr">
        <is>
          <t>Root Cause Analysis</t>
        </is>
      </c>
      <c r="C15" s="6" t="inlineStr"/>
      <c r="D15" s="6" t="inlineStr"/>
      <c r="E15" s="6">
        <f>IF(AND(C15&lt;&gt;"",D15&lt;&gt;""),(C15+D15)/2,IF(C15&lt;&gt;"",C15,""))</f>
        <v/>
      </c>
      <c r="F15" s="6" t="n">
        <v>2</v>
      </c>
      <c r="G15" s="6">
        <f>IF(E15&lt;&gt;"",E15-F15,"")</f>
        <v/>
      </c>
      <c r="H15" s="6" t="inlineStr"/>
    </row>
    <row r="16">
      <c r="A16" s="6" t="inlineStr"/>
      <c r="B16" s="6" t="inlineStr">
        <is>
          <t>Risk Assessment</t>
        </is>
      </c>
      <c r="C16" s="6" t="inlineStr"/>
      <c r="D16" s="6" t="inlineStr"/>
      <c r="E16" s="6">
        <f>IF(AND(C16&lt;&gt;"",D16&lt;&gt;""),(C16+D16)/2,IF(C16&lt;&gt;"",C16,""))</f>
        <v/>
      </c>
      <c r="F16" s="6" t="n">
        <v>2</v>
      </c>
      <c r="G16" s="6">
        <f>IF(E16&lt;&gt;"",E16-F16,"")</f>
        <v/>
      </c>
      <c r="H16" s="6" t="inlineStr"/>
    </row>
    <row r="17">
      <c r="A17" s="6" t="inlineStr"/>
      <c r="B17" s="6" t="inlineStr">
        <is>
          <t>Prevention Mindset</t>
        </is>
      </c>
      <c r="C17" s="6" t="inlineStr"/>
      <c r="D17" s="6" t="inlineStr"/>
      <c r="E17" s="6">
        <f>IF(AND(C17&lt;&gt;"",D17&lt;&gt;""),(C17+D17)/2,IF(C17&lt;&gt;"",C17,""))</f>
        <v/>
      </c>
      <c r="F17" s="6" t="n">
        <v>2</v>
      </c>
      <c r="G17" s="6">
        <f>IF(E17&lt;&gt;"",E17-F17,"")</f>
        <v/>
      </c>
      <c r="H17" s="6" t="inlineStr"/>
    </row>
    <row r="18">
      <c r="A18" s="6" t="inlineStr"/>
      <c r="B18" s="27" t="inlineStr">
        <is>
          <t>Average</t>
        </is>
      </c>
      <c r="C18" s="6" t="inlineStr"/>
      <c r="D18" s="6" t="inlineStr"/>
      <c r="E18" s="28">
        <f>IFERROR(AVERAGE(E15,E16,E17),"")</f>
        <v/>
      </c>
      <c r="F18" s="6" t="n">
        <v>2</v>
      </c>
      <c r="G18" s="6">
        <f>IF(E18&lt;&gt;"",E18-F18,"")</f>
        <v/>
      </c>
      <c r="H18" s="6" t="inlineStr"/>
    </row>
    <row r="19">
      <c r="A19" s="25" t="inlineStr">
        <is>
          <t>Impact &amp; Ownership</t>
        </is>
      </c>
      <c r="B19" s="26" t="n"/>
      <c r="C19" s="26" t="n"/>
      <c r="D19" s="26" t="n"/>
      <c r="E19" s="26" t="n"/>
      <c r="F19" s="26" t="n"/>
      <c r="G19" s="26" t="n"/>
      <c r="H19" s="26" t="n"/>
    </row>
    <row r="20">
      <c r="A20" s="6" t="inlineStr"/>
      <c r="B20" s="6" t="inlineStr">
        <is>
          <t>PIC Behavior</t>
        </is>
      </c>
      <c r="C20" s="6" t="inlineStr"/>
      <c r="D20" s="6" t="inlineStr"/>
      <c r="E20" s="6">
        <f>IF(AND(C20&lt;&gt;"",D20&lt;&gt;""),(C20+D20)/2,IF(C20&lt;&gt;"",C20,""))</f>
        <v/>
      </c>
      <c r="F20" s="6" t="n">
        <v>2</v>
      </c>
      <c r="G20" s="6">
        <f>IF(E20&lt;&gt;"",E20-F20,"")</f>
        <v/>
      </c>
      <c r="H20" s="6" t="inlineStr"/>
    </row>
    <row r="21">
      <c r="A21" s="6" t="inlineStr"/>
      <c r="B21" s="6" t="inlineStr">
        <is>
          <t>E2E Accountability</t>
        </is>
      </c>
      <c r="C21" s="6" t="inlineStr"/>
      <c r="D21" s="6" t="inlineStr"/>
      <c r="E21" s="6">
        <f>IF(AND(C21&lt;&gt;"",D21&lt;&gt;""),(C21+D21)/2,IF(C21&lt;&gt;"",C21,""))</f>
        <v/>
      </c>
      <c r="F21" s="6" t="n">
        <v>2</v>
      </c>
      <c r="G21" s="6">
        <f>IF(E21&lt;&gt;"",E21-F21,"")</f>
        <v/>
      </c>
      <c r="H21" s="6" t="inlineStr"/>
    </row>
    <row r="22">
      <c r="A22" s="6" t="inlineStr"/>
      <c r="B22" s="27" t="inlineStr">
        <is>
          <t>Average</t>
        </is>
      </c>
      <c r="C22" s="6" t="inlineStr"/>
      <c r="D22" s="6" t="inlineStr"/>
      <c r="E22" s="28">
        <f>IFERROR(AVERAGE(E20,E21),"")</f>
        <v/>
      </c>
      <c r="F22" s="6" t="n">
        <v>2</v>
      </c>
      <c r="G22" s="6">
        <f>IF(E22&lt;&gt;"",E22-F22,"")</f>
        <v/>
      </c>
      <c r="H22" s="6" t="inlineStr"/>
    </row>
    <row r="23">
      <c r="A23" s="25" t="inlineStr">
        <is>
          <t>Communication</t>
        </is>
      </c>
      <c r="B23" s="26" t="n"/>
      <c r="C23" s="26" t="n"/>
      <c r="D23" s="26" t="n"/>
      <c r="E23" s="26" t="n"/>
      <c r="F23" s="26" t="n"/>
      <c r="G23" s="26" t="n"/>
      <c r="H23" s="26" t="n"/>
    </row>
    <row r="24">
      <c r="A24" s="6" t="inlineStr"/>
      <c r="B24" s="6" t="inlineStr">
        <is>
          <t>Dev/PM Alignment</t>
        </is>
      </c>
      <c r="C24" s="6" t="inlineStr"/>
      <c r="D24" s="6" t="inlineStr"/>
      <c r="E24" s="6">
        <f>IF(AND(C24&lt;&gt;"",D24&lt;&gt;""),(C24+D24)/2,IF(C24&lt;&gt;"",C24,""))</f>
        <v/>
      </c>
      <c r="F24" s="6" t="n">
        <v>2</v>
      </c>
      <c r="G24" s="6">
        <f>IF(E24&lt;&gt;"",E24-F24,"")</f>
        <v/>
      </c>
      <c r="H24" s="6" t="inlineStr"/>
    </row>
    <row r="25">
      <c r="A25" s="6" t="inlineStr"/>
      <c r="B25" s="6" t="inlineStr">
        <is>
          <t>Stakeholder Trust</t>
        </is>
      </c>
      <c r="C25" s="6" t="inlineStr"/>
      <c r="D25" s="6" t="inlineStr"/>
      <c r="E25" s="6">
        <f>IF(AND(C25&lt;&gt;"",D25&lt;&gt;""),(C25+D25)/2,IF(C25&lt;&gt;"",C25,""))</f>
        <v/>
      </c>
      <c r="F25" s="6" t="n">
        <v>2</v>
      </c>
      <c r="G25" s="6">
        <f>IF(E25&lt;&gt;"",E25-F25,"")</f>
        <v/>
      </c>
      <c r="H25" s="6" t="inlineStr"/>
    </row>
    <row r="26">
      <c r="A26" s="6" t="inlineStr"/>
      <c r="B26" s="27" t="inlineStr">
        <is>
          <t>Average</t>
        </is>
      </c>
      <c r="C26" s="6" t="inlineStr"/>
      <c r="D26" s="6" t="inlineStr"/>
      <c r="E26" s="28">
        <f>IFERROR(AVERAGE(E24,E25),"")</f>
        <v/>
      </c>
      <c r="F26" s="6" t="n">
        <v>2</v>
      </c>
      <c r="G26" s="6">
        <f>IF(E26&lt;&gt;"",E26-F26,"")</f>
        <v/>
      </c>
      <c r="H26" s="6" t="inlineStr"/>
    </row>
    <row r="27">
      <c r="A27" s="25" t="inlineStr">
        <is>
          <t>Process &amp; Strategy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6" t="inlineStr"/>
      <c r="B28" s="6" t="inlineStr">
        <is>
          <t>QA Improvement</t>
        </is>
      </c>
      <c r="C28" s="6" t="inlineStr"/>
      <c r="D28" s="6" t="inlineStr"/>
      <c r="E28" s="6">
        <f>IF(AND(C28&lt;&gt;"",D28&lt;&gt;""),(C28+D28)/2,IF(C28&lt;&gt;"",C28,""))</f>
        <v/>
      </c>
      <c r="F28" s="6" t="n">
        <v>1</v>
      </c>
      <c r="G28" s="6">
        <f>IF(E28&lt;&gt;"",E28-F28,"")</f>
        <v/>
      </c>
      <c r="H28" s="6" t="inlineStr"/>
    </row>
    <row r="29">
      <c r="A29" s="6" t="inlineStr"/>
      <c r="B29" s="6" t="inlineStr">
        <is>
          <t>Standards</t>
        </is>
      </c>
      <c r="C29" s="6" t="inlineStr"/>
      <c r="D29" s="6" t="inlineStr"/>
      <c r="E29" s="6">
        <f>IF(AND(C29&lt;&gt;"",D29&lt;&gt;""),(C29+D29)/2,IF(C29&lt;&gt;"",C29,""))</f>
        <v/>
      </c>
      <c r="F29" s="6" t="n">
        <v>1</v>
      </c>
      <c r="G29" s="6">
        <f>IF(E29&lt;&gt;"",E29-F29,"")</f>
        <v/>
      </c>
      <c r="H29" s="6" t="inlineStr"/>
    </row>
    <row r="30">
      <c r="A30" s="6" t="inlineStr"/>
      <c r="B30" s="27" t="inlineStr">
        <is>
          <t>Average</t>
        </is>
      </c>
      <c r="C30" s="6" t="inlineStr"/>
      <c r="D30" s="6" t="inlineStr"/>
      <c r="E30" s="28">
        <f>IFERROR(AVERAGE(E28,E29),"")</f>
        <v/>
      </c>
      <c r="F30" s="6" t="n">
        <v>1</v>
      </c>
      <c r="G30" s="6">
        <f>IF(E30&lt;&gt;"",E30-F30,"")</f>
        <v/>
      </c>
      <c r="H30" s="6" t="inlineStr"/>
    </row>
    <row r="31">
      <c r="A31" s="25" t="inlineStr">
        <is>
          <t>Culture &amp; Values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6" t="inlineStr"/>
      <c r="B32" s="6" t="inlineStr">
        <is>
          <t>Professionalism</t>
        </is>
      </c>
      <c r="C32" s="6" t="inlineStr"/>
      <c r="D32" s="6" t="inlineStr"/>
      <c r="E32" s="6">
        <f>IF(AND(C32&lt;&gt;"",D32&lt;&gt;""),(C32+D32)/2,IF(C32&lt;&gt;"",C32,""))</f>
        <v/>
      </c>
      <c r="F32" s="6" t="n">
        <v>2</v>
      </c>
      <c r="G32" s="6">
        <f>IF(E32&lt;&gt;"",E32-F32,"")</f>
        <v/>
      </c>
      <c r="H32" s="6" t="inlineStr"/>
    </row>
    <row r="33">
      <c r="A33" s="6" t="inlineStr"/>
      <c r="B33" s="6" t="inlineStr">
        <is>
          <t>Reliability</t>
        </is>
      </c>
      <c r="C33" s="6" t="inlineStr"/>
      <c r="D33" s="6" t="inlineStr"/>
      <c r="E33" s="6">
        <f>IF(AND(C33&lt;&gt;"",D33&lt;&gt;""),(C33+D33)/2,IF(C33&lt;&gt;"",C33,""))</f>
        <v/>
      </c>
      <c r="F33" s="6" t="n">
        <v>2</v>
      </c>
      <c r="G33" s="6">
        <f>IF(E33&lt;&gt;"",E33-F33,"")</f>
        <v/>
      </c>
      <c r="H33" s="6" t="inlineStr"/>
    </row>
    <row r="34">
      <c r="A34" s="6" t="inlineStr"/>
      <c r="B34" s="6" t="inlineStr">
        <is>
          <t>Humility</t>
        </is>
      </c>
      <c r="C34" s="6" t="inlineStr"/>
      <c r="D34" s="6" t="inlineStr"/>
      <c r="E34" s="6">
        <f>IF(AND(C34&lt;&gt;"",D34&lt;&gt;""),(C34+D34)/2,IF(C34&lt;&gt;"",C34,""))</f>
        <v/>
      </c>
      <c r="F34" s="6" t="n">
        <v>2</v>
      </c>
      <c r="G34" s="6">
        <f>IF(E34&lt;&gt;"",E34-F34,"")</f>
        <v/>
      </c>
      <c r="H34" s="6" t="inlineStr"/>
    </row>
    <row r="35">
      <c r="A35" s="6" t="inlineStr"/>
      <c r="B35" s="27" t="inlineStr">
        <is>
          <t>Average</t>
        </is>
      </c>
      <c r="C35" s="6" t="inlineStr"/>
      <c r="D35" s="6" t="inlineStr"/>
      <c r="E35" s="28">
        <f>IFERROR(AVERAGE(E32,E33,E34),"")</f>
        <v/>
      </c>
      <c r="F35" s="6" t="n">
        <v>2</v>
      </c>
      <c r="G35" s="6">
        <f>IF(E35&lt;&gt;"",E35-F35,"")</f>
        <v/>
      </c>
      <c r="H35" s="6" t="inlineStr"/>
    </row>
    <row r="37">
      <c r="B37" s="29" t="inlineStr">
        <is>
          <t>OVERALL SCORE</t>
        </is>
      </c>
      <c r="E37" s="29">
        <f>IFERROR(AVERAGE(E13,E18,E22,E26,E30,E35),"")</f>
        <v/>
      </c>
      <c r="F37" s="6" t="n">
        <v>1.8</v>
      </c>
      <c r="G37" s="6">
        <f>IF(E37&lt;&gt;"",E37-F37,"")</f>
        <v/>
      </c>
    </row>
    <row r="40">
      <c r="A40" s="3" t="inlineStr">
        <is>
          <t>🎯 LEARNING PLAN</t>
        </is>
      </c>
    </row>
    <row r="41">
      <c r="A41" s="4" t="inlineStr">
        <is>
          <t>Priority</t>
        </is>
      </c>
      <c r="B41" s="4" t="inlineStr">
        <is>
          <t>Gap Area</t>
        </is>
      </c>
      <c r="C41" s="4" t="inlineStr">
        <is>
          <t>Current→Target</t>
        </is>
      </c>
      <c r="D41" s="4" t="inlineStr">
        <is>
          <t>Actions</t>
        </is>
      </c>
      <c r="E41" s="4" t="inlineStr">
        <is>
          <t>Timeline</t>
        </is>
      </c>
      <c r="F41" s="4" t="inlineStr">
        <is>
          <t>Status</t>
        </is>
      </c>
    </row>
    <row r="42">
      <c r="A42" s="6" t="inlineStr">
        <is>
          <t>🔴 P1</t>
        </is>
      </c>
      <c r="B42" s="6" t="inlineStr"/>
      <c r="C42" s="6" t="inlineStr"/>
      <c r="D42" s="6" t="inlineStr"/>
      <c r="E42" s="6" t="inlineStr"/>
      <c r="F42" s="6" t="inlineStr"/>
    </row>
    <row r="43">
      <c r="A43" s="6" t="inlineStr">
        <is>
          <t>🔴 P1</t>
        </is>
      </c>
      <c r="B43" s="6" t="inlineStr"/>
      <c r="C43" s="6" t="inlineStr"/>
      <c r="D43" s="6" t="inlineStr"/>
      <c r="E43" s="6" t="inlineStr"/>
      <c r="F43" s="6" t="inlineStr"/>
    </row>
    <row r="44">
      <c r="A44" s="6" t="inlineStr">
        <is>
          <t>🟡 P2</t>
        </is>
      </c>
      <c r="B44" s="6" t="inlineStr"/>
      <c r="C44" s="6" t="inlineStr"/>
      <c r="D44" s="6" t="inlineStr"/>
      <c r="E44" s="6" t="inlineStr"/>
      <c r="F44" s="6" t="inlineStr"/>
    </row>
    <row r="45">
      <c r="A45" s="6" t="inlineStr">
        <is>
          <t>🟢 P3</t>
        </is>
      </c>
      <c r="B45" s="6" t="inlineStr"/>
      <c r="C45" s="6" t="inlineStr"/>
      <c r="D45" s="6" t="inlineStr"/>
      <c r="E45" s="6" t="inlineStr"/>
      <c r="F4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2025-12-30T04:32:55Z</dcterms:created>
  <dcterms:modified xsi:type="dcterms:W3CDTF">2026-01-06T05:14:43Z</dcterms:modified>
</cp:coreProperties>
</file>